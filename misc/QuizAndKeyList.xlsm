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2_ncr:500000_{14ADDCA8-D2BD-474C-A318-F870CC7FEC83}" xr6:coauthVersionLast="31" xr6:coauthVersionMax="31" xr10:uidLastSave="{00000000-0000-0000-0000-000000000000}"/>
  <bookViews>
    <workbookView xWindow="0" yWindow="460" windowWidth="2486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1" i="1" l="1"/>
  <c r="M76" i="1"/>
  <c r="M73" i="1"/>
  <c r="M17" i="1"/>
  <c r="M30" i="1"/>
  <c r="M10" i="1"/>
  <c r="M51" i="1"/>
  <c r="M41" i="1"/>
  <c r="M99" i="1"/>
  <c r="M24" i="1"/>
  <c r="M23" i="1"/>
  <c r="M98" i="1"/>
  <c r="M7" i="1"/>
  <c r="M25" i="1"/>
  <c r="M4" i="1"/>
  <c r="M27" i="1"/>
  <c r="M58" i="1"/>
  <c r="M59" i="1"/>
  <c r="M60" i="1"/>
  <c r="M61" i="1"/>
  <c r="M86" i="1"/>
  <c r="M89" i="1"/>
  <c r="M88" i="1"/>
  <c r="M90" i="1"/>
  <c r="M77" i="1"/>
  <c r="O3" i="1"/>
  <c r="O1" i="1"/>
  <c r="N1" i="1"/>
  <c r="M35" i="1"/>
  <c r="M14" i="1"/>
  <c r="M15" i="1"/>
  <c r="M9" i="1"/>
  <c r="M8" i="1"/>
  <c r="M74" i="1"/>
  <c r="M82" i="1"/>
  <c r="M5" i="1"/>
  <c r="M6" i="1"/>
  <c r="M53" i="1"/>
  <c r="M52" i="1"/>
  <c r="M45" i="1"/>
  <c r="M49" i="1"/>
  <c r="M50" i="1"/>
  <c r="M55" i="1"/>
  <c r="M56" i="1"/>
  <c r="M57" i="1"/>
  <c r="M97" i="1"/>
  <c r="M96" i="1"/>
  <c r="M95" i="1"/>
  <c r="M94" i="1"/>
  <c r="M92" i="1"/>
  <c r="M91" i="1"/>
  <c r="M87" i="1"/>
  <c r="M75" i="1"/>
  <c r="M12" i="1"/>
  <c r="M72" i="1"/>
  <c r="M29" i="1"/>
  <c r="M28" i="1"/>
  <c r="M13" i="1"/>
  <c r="M83" i="1"/>
  <c r="M71" i="1"/>
  <c r="M26" i="1"/>
  <c r="M70" i="1"/>
  <c r="M69" i="1"/>
  <c r="M68" i="1"/>
  <c r="M67" i="1"/>
  <c r="M85" i="1"/>
  <c r="M44" i="1"/>
  <c r="M66" i="1"/>
  <c r="M43" i="1"/>
  <c r="M22" i="1"/>
  <c r="M11" i="1"/>
  <c r="M65" i="1"/>
  <c r="M64" i="1"/>
  <c r="M16" i="1"/>
  <c r="M20" i="1"/>
  <c r="M63" i="1"/>
  <c r="M62" i="1"/>
  <c r="M93" i="1"/>
  <c r="M40" i="1"/>
  <c r="M19" i="1"/>
  <c r="M39" i="1"/>
  <c r="M36" i="1"/>
  <c r="M33" i="1"/>
  <c r="M84" i="1"/>
  <c r="M46" i="1"/>
  <c r="M48" i="1"/>
  <c r="M47" i="1"/>
  <c r="M32" i="1"/>
  <c r="M81" i="1"/>
  <c r="M31" i="1"/>
  <c r="M38" i="1"/>
  <c r="M37" i="1"/>
  <c r="M80" i="1"/>
  <c r="M42" i="1"/>
  <c r="M79" i="1"/>
  <c r="M18" i="1"/>
  <c r="M78" i="1"/>
  <c r="M34" i="1"/>
  <c r="M54" i="1"/>
</calcChain>
</file>

<file path=xl/sharedStrings.xml><?xml version="1.0" encoding="utf-8"?>
<sst xmlns="http://schemas.openxmlformats.org/spreadsheetml/2006/main" count="580" uniqueCount="356">
  <si>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</si>
  <si>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</si>
  <si>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</si>
  <si>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</si>
  <si>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</si>
  <si>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</si>
  <si>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</si>
  <si>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</si>
  <si>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</si>
  <si>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</si>
  <si>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</si>
  <si>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</si>
  <si>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</si>
  <si>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</si>
  <si>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</si>
  <si>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</si>
  <si>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</si>
  <si>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</si>
  <si>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</si>
  <si>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</si>
  <si>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</si>
  <si>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</si>
  <si>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</si>
  <si>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</si>
  <si>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</si>
  <si>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</si>
  <si>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</si>
  <si>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</si>
  <si>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</si>
  <si>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</si>
  <si>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</si>
  <si>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</si>
  <si>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</si>
  <si>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</si>
  <si>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</si>
  <si>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</si>
  <si>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</si>
  <si>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</si>
  <si>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</si>
  <si>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</si>
  <si>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</si>
  <si>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</si>
  <si>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</si>
  <si>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</si>
  <si>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</si>
  <si>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</si>
  <si>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</si>
  <si>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</si>
  <si>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</si>
  <si>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</si>
  <si>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</si>
  <si>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</si>
  <si>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</si>
  <si>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</si>
  <si>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</si>
  <si>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</si>
  <si>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</si>
  <si>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</si>
  <si>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</si>
  <si>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</si>
  <si>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</si>
  <si>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</si>
  <si>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</si>
  <si>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</si>
  <si>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</si>
  <si>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</si>
  <si>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</si>
  <si>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</si>
  <si>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</si>
  <si>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</si>
  <si>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</si>
  <si>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</si>
  <si>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</si>
  <si>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</si>
  <si>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</si>
  <si>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</si>
  <si>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</si>
  <si>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</si>
  <si>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</si>
  <si>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</si>
  <si>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</si>
  <si>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</si>
  <si>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</si>
  <si>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</si>
  <si>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</si>
  <si>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</si>
  <si>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</si>
  <si>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</si>
  <si>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</si>
  <si>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</si>
  <si>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</si>
  <si>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</si>
  <si>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</si>
  <si>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</si>
  <si>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</si>
  <si>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</si>
  <si>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</si>
  <si>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</si>
  <si>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</si>
  <si>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</si>
  <si>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</si>
  <si>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</si>
  <si>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</si>
  <si>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</si>
  <si>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</si>
  <si>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</si>
  <si>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</si>
  <si>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</si>
  <si>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</si>
  <si>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</si>
  <si>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</si>
  <si>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</si>
  <si>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</si>
  <si>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</si>
  <si>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</si>
  <si>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</si>
  <si>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</si>
  <si>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</si>
  <si>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</si>
  <si>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</si>
  <si>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</si>
  <si>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 xml:space="preserve">從root往下測 如果p, q都在root同一邊例如左邊 則往下測p,q是否在root.left的同一邊 如果是不同邊 則代表該node就是兩者的ancestor 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</si>
  <si>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</si>
  <si>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</si>
  <si>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</si>
  <si>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</si>
  <si>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</si>
  <si>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</si>
  <si>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</si>
  <si>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</si>
  <si>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</si>
  <si>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</si>
  <si>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</si>
  <si>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</si>
  <si>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</si>
  <si>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</si>
  <si>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</si>
  <si>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</si>
  <si>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</si>
  <si>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</si>
  <si>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</si>
  <si>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</si>
  <si>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</si>
  <si>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</si>
  <si>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</si>
  <si>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</si>
  <si>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</si>
  <si>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</si>
  <si>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</si>
  <si>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</si>
  <si>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</si>
  <si>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</si>
  <si>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</si>
  <si>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</si>
  <si>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</si>
  <si>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</si>
  <si>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</si>
  <si>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</si>
  <si>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</si>
  <si>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</si>
  <si>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</si>
  <si>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</si>
  <si>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</si>
  <si>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</si>
  <si>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</si>
  <si>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</si>
  <si>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Find All Numbers Disappeared In An Array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</si>
  <si>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</si>
  <si>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</si>
  <si>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</si>
  <si>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</si>
  <si>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</si>
  <si>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</si>
  <si>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</si>
  <si>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</si>
  <si>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</si>
  <si>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</si>
  <si>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</si>
  <si>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</si>
  <si>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</si>
  <si>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</si>
  <si>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</si>
  <si>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</si>
  <si>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</si>
  <si>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</si>
  <si>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</si>
  <si>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</si>
  <si>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</si>
  <si>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</si>
  <si>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</si>
  <si>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</si>
  <si>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</si>
  <si>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</si>
  <si>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</si>
  <si>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</si>
  <si>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</si>
  <si>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</si>
  <si>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</si>
  <si>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</si>
  <si>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</si>
  <si>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</si>
  <si>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</si>
  <si>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</si>
  <si>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</si>
  <si>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</si>
  <si>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</si>
  <si>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</si>
  <si>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</si>
  <si>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</si>
  <si>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</si>
  <si>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6"/>
  </si>
  <si>
    <t>House Robber</t>
    <phoneticPr fontId="6"/>
  </si>
  <si>
    <t>House Robber 2</t>
    <phoneticPr fontId="6"/>
  </si>
  <si>
    <t>給一個陣列 相鄰兩個不能都取 求加總最大和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</si>
  <si>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</si>
  <si>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</si>
  <si>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</si>
  <si>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</si>
  <si>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</si>
  <si>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</si>
  <si>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</si>
  <si>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</si>
  <si>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</si>
  <si>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</si>
  <si>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</si>
  <si>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</si>
  <si>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</si>
  <si>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</si>
  <si>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</si>
  <si>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</si>
  <si>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</si>
  <si>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</si>
  <si>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6"/>
  </si>
  <si>
    <t>Add Strings</t>
  </si>
  <si>
    <t>給兩個字串數字 相加後回傳字串</t>
  </si>
  <si>
    <t>Binary Tree Preorder Traversal</t>
  </si>
  <si>
    <t>traversal</t>
  </si>
  <si>
    <t>Binary Tree Inorder Traversal</t>
  </si>
  <si>
    <t>使用iterative</t>
  </si>
  <si>
    <t>Binary Tree Postorder Traversal</t>
  </si>
  <si>
    <t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</t>
  </si>
  <si>
    <t xml:space="preserve">Convert BST to Greater Tree </t>
  </si>
  <si>
    <t>給一個BST 所有node的新的值定義為 自己的值加上所有比他大的node的值</t>
  </si>
  <si>
    <t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</si>
  <si>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</si>
  <si>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</si>
  <si>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</si>
  <si>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</si>
  <si>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</si>
  <si>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</si>
  <si>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</si>
  <si>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</si>
  <si>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</si>
  <si>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</si>
  <si>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</si>
  <si>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</si>
  <si>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</si>
  <si>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</si>
  <si>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</si>
  <si>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</si>
  <si>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</si>
  <si>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</t>
  </si>
  <si>
    <t>Group Anagrams</t>
  </si>
  <si>
    <t>algo</t>
  </si>
  <si>
    <t xml:space="preserve">給一個String[] 把anagram(同字母組成字)分群 回傳一個List of List </t>
  </si>
  <si>
    <t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</si>
  <si>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</si>
  <si>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</si>
  <si>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</si>
  <si>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</si>
  <si>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</si>
  <si>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</si>
  <si>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</si>
  <si>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</si>
  <si>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</si>
  <si>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</si>
  <si>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</si>
  <si>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</si>
  <si>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</si>
  <si>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</si>
  <si>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</si>
  <si>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</si>
  <si>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</si>
  <si>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</si>
  <si>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</si>
  <si>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</si>
  <si>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</si>
  <si>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</si>
  <si>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</si>
  <si>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</si>
  <si>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</si>
  <si>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</si>
  <si>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</si>
  <si>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</si>
  <si>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</si>
  <si>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</si>
  <si>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</si>
  <si>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</si>
  <si>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</si>
  <si>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</si>
  <si>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</si>
  <si>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</si>
  <si>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t>backtrack func</t>
    </r>
    <r>
      <rPr>
        <sz val="10"/>
        <color theme="1"/>
        <rFont val="Malgun Gothic Semilight"/>
        <family val="3"/>
        <charset val="129"/>
      </rPr>
      <t>跳出條件是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</si>
  <si>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#46</t>
    </r>
    <r>
      <rPr>
        <sz val="10"/>
        <color theme="1"/>
        <rFont val="Malgun Gothic Semilight"/>
        <family val="3"/>
        <charset val="129"/>
      </rPr>
      <t>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</t>
    </r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</si>
  <si>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</si>
  <si>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r>
      <rPr>
        <sz val="10"/>
        <color theme="1"/>
        <rFont val="Malgun Gothic Semilight"/>
        <family val="3"/>
        <charset val="129"/>
      </rPr>
      <t>O(n2) 雙迴圈
O(nlogn) 先排序 再用兩指標指著前後 相加太小就把前指標往後 反之把後指標往前
O(n) 用</t>
    </r>
    <r>
      <rPr>
        <sz val="10"/>
        <color theme="1"/>
        <rFont val="Arial"/>
        <family val="2"/>
      </rPr>
      <t>hashmap</t>
    </r>
    <r>
      <rPr>
        <sz val="10"/>
        <color theme="1"/>
        <rFont val="Malgun Gothic Semilight"/>
        <family val="3"/>
        <charset val="129"/>
      </rPr>
      <t>來做 裡面存入(target-A[i], i) 當map.containsKey(A[i])時 代表目前的i 和 map.get(A[i])就是兩個元素的index</t>
    </r>
  </si>
  <si>
    <r>
      <rPr>
        <sz val="10"/>
        <color theme="1"/>
        <rFont val="Malgun Gothic Semilight"/>
        <family val="3"/>
        <charset val="129"/>
      </rPr>
      <t>使用快慢指標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一開始兩者都指向</t>
    </r>
    <r>
      <rPr>
        <sz val="10"/>
        <color theme="1"/>
        <rFont val="Arial"/>
        <family val="2"/>
      </rPr>
      <t xml:space="preserve">head </t>
    </r>
    <r>
      <rPr>
        <sz val="10"/>
        <color theme="1"/>
        <rFont val="Malgun Gothic Semilight"/>
        <family val="3"/>
        <charset val="129"/>
      </rPr>
      <t>快指摽一次兩步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慢指摽一次一步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快慢指標重疊代表有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快指標走完代表沒有</t>
    </r>
    <phoneticPr fontId="6"/>
  </si>
  <si>
    <r>
      <rPr>
        <sz val="10"/>
        <color theme="1"/>
        <rFont val="Malgun Gothic Semilight"/>
        <family val="3"/>
        <charset val="129"/>
      </rPr>
      <t>造一個</t>
    </r>
    <r>
      <rPr>
        <sz val="10"/>
        <color theme="1"/>
        <rFont val="Arial"/>
        <family val="2"/>
      </rPr>
      <t>dummy node</t>
    </r>
    <r>
      <rPr>
        <sz val="10"/>
        <color theme="1"/>
        <rFont val="Malgun Gothic Semilight"/>
        <family val="3"/>
        <charset val="129"/>
      </rPr>
      <t>，然後就進入迴圈，迴圈中分成四種</t>
    </r>
    <r>
      <rPr>
        <sz val="10"/>
        <color theme="1"/>
        <rFont val="Arial"/>
        <family val="2"/>
      </rPr>
      <t>case, l1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都還沒結束則比較大小，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已結束則把剩下來的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全部接上並回傳，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已結束則接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並回傳，兩者都結束也是回傳</t>
    </r>
    <phoneticPr fontId="6"/>
  </si>
  <si>
    <r>
      <t>sorting</t>
    </r>
    <r>
      <rPr>
        <sz val="10"/>
        <color theme="1"/>
        <rFont val="Malgun Gothic Semilight"/>
        <family val="3"/>
        <charset val="129"/>
      </rPr>
      <t>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  </r>
    <phoneticPr fontId="6"/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</si>
  <si>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  <phoneticPr fontId="6"/>
  </si>
  <si>
    <r>
      <rPr>
        <sz val="10"/>
        <color theme="1"/>
        <rFont val="Malgun Gothic Semilight"/>
        <family val="3"/>
        <charset val="129"/>
      </rPr>
      <t>元素介於</t>
    </r>
    <r>
      <rPr>
        <sz val="10"/>
        <color theme="1"/>
        <rFont val="Arial"/>
        <family val="2"/>
      </rPr>
      <t>1~n</t>
    </r>
    <r>
      <rPr>
        <sz val="10"/>
        <color theme="1"/>
        <rFont val="Malgun Gothic Semilight"/>
        <family val="3"/>
        <charset val="129"/>
      </rPr>
      <t>就是最大的</t>
    </r>
    <r>
      <rPr>
        <sz val="10"/>
        <color theme="1"/>
        <rFont val="Arial"/>
        <family val="2"/>
      </rPr>
      <t xml:space="preserve">hint  </t>
    </r>
    <r>
      <rPr>
        <sz val="10"/>
        <color theme="1"/>
        <rFont val="Malgun Gothic Semilight"/>
        <family val="3"/>
        <charset val="129"/>
      </rPr>
      <t>用原本陣列的正負號來儲存一個或兩個的資訊 這樣可以不用多開</t>
    </r>
    <r>
      <rPr>
        <sz val="10"/>
        <color theme="1"/>
        <rFont val="Arial"/>
        <family val="2"/>
      </rPr>
      <t>array</t>
    </r>
    <r>
      <rPr>
        <sz val="10"/>
        <color theme="1"/>
        <rFont val="Malgun Gothic Semilight"/>
        <family val="3"/>
        <charset val="129"/>
      </rPr>
      <t>來儲存資料</t>
    </r>
    <phoneticPr fontId="6"/>
  </si>
  <si>
    <r>
      <rPr>
        <sz val="10"/>
        <color theme="1"/>
        <rFont val="Malgun Gothic Semilight"/>
        <family val="3"/>
        <charset val="129"/>
      </rPr>
      <t>因為是反著存，往前就跟平常加法由右至左一樣，只要記得處理進位。
開第三條</t>
    </r>
    <r>
      <rPr>
        <sz val="10"/>
        <color theme="1"/>
        <rFont val="Arial"/>
        <family val="2"/>
      </rPr>
      <t>ListNode</t>
    </r>
    <r>
      <rPr>
        <sz val="10"/>
        <color theme="1"/>
        <rFont val="Malgun Gothic Semilight"/>
        <family val="3"/>
        <charset val="129"/>
      </rPr>
      <t>來接，要注意的是如果某條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先結束的情況。
因為不知道</t>
    </r>
    <r>
      <rPr>
        <sz val="10"/>
        <color theme="1"/>
        <rFont val="Arial"/>
        <family val="2"/>
      </rPr>
      <t>List1,List2</t>
    </r>
    <r>
      <rPr>
        <sz val="10"/>
        <color theme="1"/>
        <rFont val="Malgun Gothic Semilight"/>
        <family val="3"/>
        <charset val="129"/>
      </rPr>
      <t>誰長，所以假設</t>
    </r>
    <r>
      <rPr>
        <sz val="10"/>
        <color theme="1"/>
        <rFont val="Arial"/>
        <family val="2"/>
      </rPr>
      <t>List1</t>
    </r>
    <r>
      <rPr>
        <sz val="10"/>
        <color theme="1"/>
        <rFont val="Malgun Gothic Semilight"/>
        <family val="3"/>
        <charset val="129"/>
      </rPr>
      <t>較長，
但在迴圈內就得處理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先結束的狀況。迴圈結束後，
再處理如果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還有剩的情況，最後才處理如果兩者都結束，
但有進位的情況，總共三種</t>
    </r>
    <r>
      <rPr>
        <sz val="10"/>
        <color theme="1"/>
        <rFont val="Arial"/>
        <family val="2"/>
      </rPr>
      <t>case</t>
    </r>
    <r>
      <rPr>
        <sz val="10"/>
        <color theme="1"/>
        <rFont val="Malgun Gothic Semilight"/>
        <family val="3"/>
        <charset val="129"/>
      </rPr>
      <t>要處理。</t>
    </r>
    <phoneticPr fontId="6"/>
  </si>
  <si>
    <r>
      <rPr>
        <sz val="10"/>
        <color theme="1"/>
        <rFont val="Malgun Gothic Semilight"/>
        <family val="3"/>
        <charset val="129"/>
      </rPr>
      <t>一開始寫得很複雜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而且還是一堆錯</t>
    </r>
    <r>
      <rPr>
        <sz val="10"/>
        <color theme="1"/>
        <rFont val="Arial"/>
        <family val="2"/>
      </rPr>
      <t xml:space="preserve">) </t>
    </r>
    <r>
      <rPr>
        <sz val="10"/>
        <color theme="1"/>
        <rFont val="Malgun Gothic Semilight"/>
        <family val="3"/>
        <charset val="129"/>
      </rPr>
      <t>但其實可以把寫法寫得很簡單
重點在於接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的時候不要都是接</t>
    </r>
    <r>
      <rPr>
        <sz val="10"/>
        <color theme="1"/>
        <rFont val="Arial"/>
        <family val="2"/>
      </rPr>
      <t>left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right 
</t>
    </r>
    <r>
      <rPr>
        <sz val="10"/>
        <color theme="1"/>
        <rFont val="Malgun Gothic Semilight"/>
        <family val="3"/>
        <charset val="129"/>
      </rPr>
      <t>要接</t>
    </r>
    <r>
      <rPr>
        <sz val="10"/>
        <color theme="1"/>
        <rFont val="Arial"/>
        <family val="2"/>
      </rPr>
      <t>recur(left)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recur(right) </t>
    </r>
    <r>
      <rPr>
        <sz val="10"/>
        <color theme="1"/>
        <rFont val="Malgun Gothic Semilight"/>
        <family val="3"/>
        <charset val="129"/>
      </rPr>
      <t>那會讓事情變簡單不少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</si>
  <si>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</si>
  <si>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來接，順序是左上右。因為左邊要先，中間在後，所以一路往左，並且依序把中間</t>
    </r>
    <r>
      <rPr>
        <sz val="10"/>
        <color theme="1"/>
        <rFont val="Arial"/>
        <family val="2"/>
      </rPr>
      <t>push</t>
    </r>
    <r>
      <rPr>
        <sz val="10"/>
        <color theme="1"/>
        <rFont val="Malgun Gothic Semilight"/>
        <family val="3"/>
        <charset val="129"/>
      </rPr>
      <t>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，右邊不需要處理，因為右邊可以等取出中間時才處理。等到跳到</t>
    </r>
    <r>
      <rPr>
        <sz val="10"/>
        <color theme="1"/>
        <rFont val="Arial"/>
        <family val="2"/>
      </rPr>
      <t>null</t>
    </r>
    <r>
      <rPr>
        <sz val="10"/>
        <color theme="1"/>
        <rFont val="Malgun Gothic Semilight"/>
        <family val="3"/>
        <charset val="129"/>
      </rPr>
      <t>（最左邊</t>
    </r>
    <r>
      <rPr>
        <sz val="10"/>
        <color theme="1"/>
        <rFont val="Arial"/>
        <family val="2"/>
      </rPr>
      <t>null)</t>
    </r>
    <r>
      <rPr>
        <sz val="10"/>
        <color theme="1"/>
        <rFont val="Malgun Gothic Semilight"/>
        <family val="3"/>
        <charset val="129"/>
      </rPr>
      <t>的時候，開始</t>
    </r>
    <r>
      <rPr>
        <sz val="10"/>
        <color theme="1"/>
        <rFont val="Arial"/>
        <family val="2"/>
      </rPr>
      <t>pull</t>
    </r>
    <r>
      <rPr>
        <sz val="10"/>
        <color theme="1"/>
        <rFont val="Malgun Gothic Semilight"/>
        <family val="3"/>
        <charset val="129"/>
      </rPr>
      <t>出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。這時候因為是要考慮到上右，所以先把中間放入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才往右邊跳，當右邊處理結束後，又會回到上一層的中間，依次往上回去。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</si>
  <si>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，等他下次迴圈後也是會取出一樣的左邊，但就比較麻煩），依序往下。</t>
    </r>
    <phoneticPr fontId="6"/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</si>
  <si>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</si>
  <si>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</si>
  <si>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</si>
  <si>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</si>
  <si>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</si>
  <si>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</si>
  <si>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</si>
  <si>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</si>
  <si>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 </t>
  </si>
  <si>
    <t>Increase Subsequences</t>
  </si>
  <si>
    <t xml:space="preserve">給一個數字陣列 數字可能重複 沒有排序 求所有的子array 裡面的元素是相等或遞增 (子array代表順序不變) </t>
  </si>
  <si>
    <t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</si>
  <si>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</si>
  <si>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</si>
  <si>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</si>
  <si>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6"/>
  </si>
  <si>
    <t>Nim Game</t>
    <phoneticPr fontId="6"/>
  </si>
  <si>
    <t>DP</t>
    <phoneticPr fontId="6"/>
  </si>
  <si>
    <t>dp</t>
    <phoneticPr fontId="6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</si>
  <si>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6"/>
  </si>
  <si>
    <t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</t>
    <phoneticPr fontId="6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</si>
  <si>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</si>
  <si>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</si>
  <si>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</si>
  <si>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</si>
  <si>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</si>
  <si>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</si>
  <si>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</si>
  <si>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</si>
  <si>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</t>
  </si>
  <si>
    <t>給一個array裡面有2n個元素 把2n個元素兩兩分成n組 一組內取小的出來 最後這n個小元素相加之後最大會是多少</t>
  </si>
  <si>
    <t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</si>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</sst>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/d;@"/>
    <numFmt numFmtId="165" formatCode="0_);[Red]\(0\)"/>
  </numFmts>
  <fonts count="2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0" fillId="0" borderId="0" xfId="0" applyFont="1" applyAlignment="1">
      <alignment vertical="top" wrapText="1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5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5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5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6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vertical="top" wrapText="1"/>
    </xf>
    <xf numFmtId="0" fontId="16" fillId="0" borderId="2" xfId="0" applyFont="1" applyFill="1" applyBorder="1" applyAlignment="1">
      <alignment horizontal="left" vertical="top" wrapText="1"/>
    </xf>
    <xf numFmtId="14" fontId="16" fillId="0" borderId="1" xfId="0" applyNumberFormat="1" applyFont="1" applyBorder="1" applyAlignment="1">
      <alignment vertical="top" wrapText="1"/>
    </xf>
    <xf numFmtId="0" fontId="16" fillId="0" borderId="1" xfId="0" applyFont="1" applyBorder="1" applyAlignment="1">
      <alignment horizontal="center" vertical="top" wrapText="1"/>
    </xf>
    <xf numFmtId="0" fontId="16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right" vertical="top" wrapText="1"/>
    </xf>
    <xf numFmtId="164" fontId="16" fillId="0" borderId="1" xfId="0" applyNumberFormat="1" applyFont="1" applyBorder="1" applyAlignment="1">
      <alignment vertical="top" wrapText="1"/>
    </xf>
    <xf numFmtId="164" fontId="16" fillId="0" borderId="1" xfId="0" applyNumberFormat="1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wrapText="1"/>
    </xf>
    <xf numFmtId="165" fontId="16" fillId="0" borderId="1" xfId="0" applyNumberFormat="1" applyFont="1" applyBorder="1" applyAlignment="1">
      <alignment horizontal="right" vertical="top" wrapText="1"/>
    </xf>
    <xf numFmtId="0" fontId="17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7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center" vertical="top" wrapText="1"/>
    </xf>
    <xf numFmtId="165" fontId="16" fillId="0" borderId="1" xfId="0" applyNumberFormat="1" applyFont="1" applyFill="1" applyBorder="1" applyAlignment="1">
      <alignment horizontal="right" vertical="top" wrapText="1"/>
    </xf>
    <xf numFmtId="0" fontId="16" fillId="0" borderId="1" xfId="0" applyFont="1" applyBorder="1" applyAlignment="1">
      <alignment wrapText="1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165" fontId="16" fillId="0" borderId="2" xfId="0" applyNumberFormat="1" applyFont="1" applyBorder="1" applyAlignment="1">
      <alignment horizontal="right" vertical="top" wrapText="1"/>
    </xf>
    <xf numFmtId="0" fontId="19" fillId="2" borderId="0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 wrapText="1"/>
    </xf>
    <xf numFmtId="14" fontId="13" fillId="0" borderId="2" xfId="0" applyNumberFormat="1" applyFont="1" applyBorder="1" applyAlignment="1">
      <alignment vertical="top" wrapText="1"/>
    </xf>
    <xf numFmtId="164" fontId="13" fillId="0" borderId="1" xfId="0" applyNumberFormat="1" applyFont="1" applyBorder="1" applyAlignment="1">
      <alignment vertical="top" wrapText="1"/>
    </xf>
    <xf numFmtId="14" fontId="13" fillId="0" borderId="1" xfId="0" applyNumberFormat="1" applyFont="1" applyBorder="1" applyAlignment="1">
      <alignment vertical="top" wrapText="1"/>
    </xf>
    <xf numFmtId="0" fontId="13" fillId="0" borderId="1" xfId="0" applyFont="1" applyBorder="1" applyAlignment="1">
      <alignment vertical="top" wrapText="1"/>
    </xf>
    <xf numFmtId="164" fontId="13" fillId="0" borderId="1" xfId="0" applyNumberFormat="1" applyFont="1" applyFill="1" applyBorder="1" applyAlignment="1">
      <alignment vertical="top" wrapText="1"/>
    </xf>
    <xf numFmtId="0" fontId="13" fillId="0" borderId="0" xfId="0" applyFont="1" applyAlignment="1">
      <alignment vertical="top" wrapText="1"/>
    </xf>
    <xf numFmtId="14" fontId="16" fillId="0" borderId="2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0" fontId="18" fillId="0" borderId="1" xfId="0" applyFont="1" applyBorder="1" applyAlignment="1">
      <alignment vertical="top" wrapText="1"/>
    </xf>
  </cellXfs>
  <cellStyles count="1">
    <cellStyle name="Normal" xfId="0" builtinId="0"/>
  </cellStyles>
  <dxfs count="9">
    <dxf>
      <font>
        <color theme="1"/>
      </font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152792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2"/>
  <sheetViews>
    <sheetView tabSelected="1" zoomScale="97" zoomScaleNormal="97" workbookViewId="0">
      <pane ySplit="3" topLeftCell="A69" activePane="bottomLeft" state="frozen"/>
      <selection pane="bottomLeft" activeCell="I96" sqref="I96"/>
    </sheetView>
  </sheetViews>
  <sheetFormatPr baseColWidth="10" defaultColWidth="14.5" defaultRowHeight="81" customHeight="1"/>
  <cols>
    <col min="1" max="1" width="4.5" style="9" customWidth="1"/>
    <col min="2" max="2" width="10.83203125" style="9" customWidth="1"/>
    <col min="3" max="3" width="11.6640625" style="32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30" customWidth="1"/>
    <col min="11" max="12" width="7.33203125" style="17" customWidth="1"/>
    <col min="13" max="13" width="8.1640625" style="17" customWidth="1"/>
  </cols>
  <sheetData>
    <row r="1" spans="1:30" s="28" customFormat="1" ht="18" customHeight="1">
      <c r="A1" s="24" t="s">
        <v>162</v>
      </c>
      <c r="B1" s="24" t="s">
        <v>210</v>
      </c>
      <c r="C1" s="33" t="s">
        <v>167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8">
        <f>COUNTA(B4:B200)</f>
        <v>96</v>
      </c>
      <c r="O1" s="38">
        <f>COUNTA(J10:J206)</f>
        <v>80</v>
      </c>
    </row>
    <row r="2" spans="1:30" s="23" customFormat="1" ht="18" customHeight="1" thickBot="1">
      <c r="A2" s="18"/>
      <c r="B2" s="29"/>
      <c r="C2" s="31"/>
      <c r="D2" s="19"/>
      <c r="E2" s="19"/>
      <c r="F2" s="20"/>
      <c r="G2" s="19"/>
      <c r="H2" s="19"/>
      <c r="I2" s="20"/>
      <c r="J2" s="20"/>
      <c r="K2" s="21"/>
      <c r="L2" s="21"/>
      <c r="M2" s="22"/>
      <c r="N2" s="85" t="s">
        <v>269</v>
      </c>
      <c r="O2" s="85" t="s">
        <v>270</v>
      </c>
    </row>
    <row r="3" spans="1:30" s="48" customFormat="1" ht="18" customHeight="1" thickBot="1">
      <c r="A3" s="41"/>
      <c r="B3" s="42"/>
      <c r="C3" s="43"/>
      <c r="D3" s="44"/>
      <c r="E3" s="44"/>
      <c r="F3" s="45"/>
      <c r="G3" s="44"/>
      <c r="H3" s="44"/>
      <c r="I3" s="45"/>
      <c r="J3" s="45"/>
      <c r="K3" s="46"/>
      <c r="L3" s="46"/>
      <c r="M3" s="47"/>
      <c r="N3" s="87">
        <v>322</v>
      </c>
      <c r="O3" s="86" t="str">
        <f>IF(COUNTIF(D4:D100,N3)&gt;0, "Done", "Not Yet!")</f>
        <v>Done</v>
      </c>
    </row>
    <row r="4" spans="1:30" s="40" customFormat="1" ht="81" customHeight="1" thickBot="1">
      <c r="A4" s="39">
        <v>82</v>
      </c>
      <c r="B4" s="94">
        <v>43130</v>
      </c>
      <c r="C4" s="88">
        <v>43130</v>
      </c>
      <c r="D4" s="57">
        <v>49</v>
      </c>
      <c r="E4" s="58" t="s">
        <v>14</v>
      </c>
      <c r="F4" s="59" t="s">
        <v>262</v>
      </c>
      <c r="G4" s="58" t="s">
        <v>97</v>
      </c>
      <c r="H4" s="58" t="s">
        <v>263</v>
      </c>
      <c r="I4" s="95" t="s">
        <v>264</v>
      </c>
      <c r="J4" s="58" t="s">
        <v>265</v>
      </c>
      <c r="K4" s="84">
        <v>437</v>
      </c>
      <c r="L4" s="84">
        <v>38</v>
      </c>
      <c r="M4" s="54">
        <f>IF(ISBLANK(K4),,((K4-L4*2)+1000)/9)</f>
        <v>151.22222222222223</v>
      </c>
    </row>
    <row r="5" spans="1:30" s="35" customFormat="1" ht="81" customHeight="1" thickBot="1">
      <c r="A5" s="34">
        <v>69</v>
      </c>
      <c r="B5" s="66">
        <v>43087</v>
      </c>
      <c r="C5" s="90">
        <v>43130</v>
      </c>
      <c r="D5" s="61">
        <v>169</v>
      </c>
      <c r="E5" s="62" t="s">
        <v>32</v>
      </c>
      <c r="F5" s="63" t="s">
        <v>218</v>
      </c>
      <c r="G5" s="62" t="s">
        <v>216</v>
      </c>
      <c r="H5" s="62" t="s">
        <v>282</v>
      </c>
      <c r="I5" s="64" t="s">
        <v>228</v>
      </c>
      <c r="J5" s="62" t="s">
        <v>229</v>
      </c>
      <c r="K5" s="69">
        <v>416</v>
      </c>
      <c r="L5" s="69">
        <v>39</v>
      </c>
      <c r="M5" s="37">
        <f>IF(ISBLANK(K5),,((K5-L5*2)+1000)/9)</f>
        <v>148.66666666666666</v>
      </c>
      <c r="AA5" s="50"/>
      <c r="AB5" s="50"/>
      <c r="AC5" s="50"/>
      <c r="AD5" s="50"/>
    </row>
    <row r="6" spans="1:30" s="35" customFormat="1" ht="81" customHeight="1" thickBot="1">
      <c r="A6" s="34">
        <v>70</v>
      </c>
      <c r="B6" s="66">
        <v>43087</v>
      </c>
      <c r="C6" s="89">
        <v>43087</v>
      </c>
      <c r="D6" s="61">
        <v>179</v>
      </c>
      <c r="E6" s="62" t="s">
        <v>14</v>
      </c>
      <c r="F6" s="63" t="s">
        <v>219</v>
      </c>
      <c r="G6" s="62" t="s">
        <v>216</v>
      </c>
      <c r="H6" s="62" t="s">
        <v>287</v>
      </c>
      <c r="I6" s="64" t="s">
        <v>230</v>
      </c>
      <c r="J6" s="62" t="s">
        <v>231</v>
      </c>
      <c r="K6" s="69">
        <v>215</v>
      </c>
      <c r="L6" s="69">
        <v>23</v>
      </c>
      <c r="M6" s="37">
        <f>IF(ISBLANK(K6),,((K6-L6*2)+1000)/9)</f>
        <v>129.88888888888889</v>
      </c>
    </row>
    <row r="7" spans="1:30" s="35" customFormat="1" ht="81" customHeight="1" thickBot="1">
      <c r="A7" s="34">
        <v>84</v>
      </c>
      <c r="B7" s="60">
        <v>43136</v>
      </c>
      <c r="C7" s="90">
        <v>43136</v>
      </c>
      <c r="D7" s="61">
        <v>202</v>
      </c>
      <c r="E7" s="62" t="s">
        <v>32</v>
      </c>
      <c r="F7" s="63" t="s">
        <v>274</v>
      </c>
      <c r="G7" s="62" t="s">
        <v>97</v>
      </c>
      <c r="H7" s="62" t="s">
        <v>263</v>
      </c>
      <c r="I7" s="64" t="s">
        <v>275</v>
      </c>
      <c r="J7" s="62" t="s">
        <v>276</v>
      </c>
      <c r="K7" s="65">
        <v>267</v>
      </c>
      <c r="L7" s="65">
        <v>57</v>
      </c>
      <c r="M7" s="49">
        <f>IF(ISBLANK(K7),,((K7-L7*2)+1000)/9)</f>
        <v>128.11111111111111</v>
      </c>
    </row>
    <row r="8" spans="1:30" s="35" customFormat="1" ht="81" customHeight="1" thickBot="1">
      <c r="A8" s="34">
        <v>66</v>
      </c>
      <c r="B8" s="66">
        <v>43087</v>
      </c>
      <c r="C8" s="90">
        <v>43138</v>
      </c>
      <c r="D8" s="61">
        <v>287</v>
      </c>
      <c r="E8" s="62" t="s">
        <v>222</v>
      </c>
      <c r="F8" s="63" t="s">
        <v>296</v>
      </c>
      <c r="G8" s="62" t="s">
        <v>216</v>
      </c>
      <c r="H8" s="62" t="s">
        <v>284</v>
      </c>
      <c r="I8" s="70" t="s">
        <v>328</v>
      </c>
      <c r="J8" s="62" t="s">
        <v>329</v>
      </c>
      <c r="K8" s="69">
        <v>660</v>
      </c>
      <c r="L8" s="69">
        <v>53</v>
      </c>
      <c r="M8" s="37">
        <f>IF(ISBLANK(K8),,((K8-L8*2)+1000)/9)</f>
        <v>172.66666666666666</v>
      </c>
    </row>
    <row r="9" spans="1:30" s="35" customFormat="1" ht="81" customHeight="1" thickBot="1">
      <c r="A9" s="34">
        <v>65</v>
      </c>
      <c r="B9" s="66">
        <v>43087</v>
      </c>
      <c r="C9" s="90">
        <v>43130</v>
      </c>
      <c r="D9" s="61">
        <v>347</v>
      </c>
      <c r="E9" s="62" t="s">
        <v>171</v>
      </c>
      <c r="F9" s="63" t="s">
        <v>283</v>
      </c>
      <c r="G9" s="62" t="s">
        <v>216</v>
      </c>
      <c r="H9" s="62" t="s">
        <v>284</v>
      </c>
      <c r="I9" s="71" t="s">
        <v>304</v>
      </c>
      <c r="J9" s="62" t="s">
        <v>261</v>
      </c>
      <c r="K9" s="69">
        <v>308</v>
      </c>
      <c r="L9" s="69">
        <v>24</v>
      </c>
      <c r="M9" s="37">
        <f>IF(ISBLANK(K9),,((K9-L9*2)+1000)/9)</f>
        <v>140</v>
      </c>
    </row>
    <row r="10" spans="1:30" s="35" customFormat="1" ht="81" customHeight="1" thickBot="1">
      <c r="A10" s="34">
        <v>91</v>
      </c>
      <c r="B10" s="60">
        <v>43187</v>
      </c>
      <c r="C10" s="60">
        <v>43191</v>
      </c>
      <c r="D10" s="61">
        <v>458</v>
      </c>
      <c r="E10" s="62" t="s">
        <v>32</v>
      </c>
      <c r="F10" s="63" t="s">
        <v>337</v>
      </c>
      <c r="G10" s="62" t="s">
        <v>97</v>
      </c>
      <c r="H10" s="62" t="s">
        <v>263</v>
      </c>
      <c r="I10" s="64" t="s">
        <v>344</v>
      </c>
      <c r="J10" s="62" t="s">
        <v>345</v>
      </c>
      <c r="K10" s="65">
        <v>132</v>
      </c>
      <c r="L10" s="65">
        <v>273</v>
      </c>
      <c r="M10" s="49">
        <f>IF(ISBLANK(K10),,((K10-L10*2)+1000)/9)</f>
        <v>65.111111111111114</v>
      </c>
    </row>
    <row r="11" spans="1:30" s="35" customFormat="1" ht="81" customHeight="1" thickBot="1">
      <c r="A11" s="34">
        <v>42</v>
      </c>
      <c r="B11" s="66">
        <v>43063</v>
      </c>
      <c r="C11" s="89">
        <v>43063</v>
      </c>
      <c r="D11" s="61">
        <v>200</v>
      </c>
      <c r="E11" s="62" t="s">
        <v>14</v>
      </c>
      <c r="F11" s="63" t="s">
        <v>106</v>
      </c>
      <c r="G11" s="62" t="s">
        <v>97</v>
      </c>
      <c r="H11" s="62" t="s">
        <v>107</v>
      </c>
      <c r="I11" s="64" t="s">
        <v>108</v>
      </c>
      <c r="J11" s="62" t="s">
        <v>109</v>
      </c>
      <c r="K11" s="69">
        <v>486</v>
      </c>
      <c r="L11" s="69">
        <v>24</v>
      </c>
      <c r="M11" s="37">
        <f>IF(ISBLANK(K11),,((K11-L11*2)+1000)/9)</f>
        <v>159.77777777777777</v>
      </c>
      <c r="R11" s="50"/>
      <c r="S11" s="50"/>
      <c r="T11" s="50"/>
      <c r="U11" s="50"/>
      <c r="V11" s="50"/>
      <c r="W11" s="50"/>
      <c r="X11" s="50"/>
      <c r="Y11" s="50"/>
      <c r="Z11" s="50"/>
    </row>
    <row r="12" spans="1:30" s="35" customFormat="1" ht="81" customHeight="1" thickBot="1">
      <c r="A12" s="34">
        <v>43</v>
      </c>
      <c r="B12" s="66">
        <v>43063</v>
      </c>
      <c r="C12" s="89">
        <v>43063</v>
      </c>
      <c r="D12" s="61">
        <v>463</v>
      </c>
      <c r="E12" s="62" t="s">
        <v>32</v>
      </c>
      <c r="F12" s="63" t="s">
        <v>150</v>
      </c>
      <c r="G12" s="62" t="s">
        <v>97</v>
      </c>
      <c r="H12" s="62" t="s">
        <v>107</v>
      </c>
      <c r="I12" s="64" t="s">
        <v>151</v>
      </c>
      <c r="J12" s="62" t="s">
        <v>152</v>
      </c>
      <c r="K12" s="69">
        <v>264</v>
      </c>
      <c r="L12" s="69">
        <v>27</v>
      </c>
      <c r="M12" s="37">
        <f>IF(ISBLANK(K12),,((K12-L12*2)+1000)/9)</f>
        <v>134.44444444444446</v>
      </c>
    </row>
    <row r="13" spans="1:30" s="35" customFormat="1" ht="81" customHeight="1" thickBot="1">
      <c r="A13" s="34">
        <v>38</v>
      </c>
      <c r="B13" s="66">
        <v>43062</v>
      </c>
      <c r="C13" s="89">
        <v>43062</v>
      </c>
      <c r="D13" s="61">
        <v>398</v>
      </c>
      <c r="E13" s="62" t="s">
        <v>14</v>
      </c>
      <c r="F13" s="63" t="s">
        <v>165</v>
      </c>
      <c r="G13" s="62" t="s">
        <v>97</v>
      </c>
      <c r="H13" s="62" t="s">
        <v>143</v>
      </c>
      <c r="I13" s="64" t="s">
        <v>196</v>
      </c>
      <c r="J13" s="62" t="s">
        <v>144</v>
      </c>
      <c r="K13" s="69">
        <v>56</v>
      </c>
      <c r="L13" s="69">
        <v>166</v>
      </c>
      <c r="M13" s="37">
        <f>IF(ISBLANK(K13),,((K13-L13*2)+1000)/9)</f>
        <v>80.444444444444443</v>
      </c>
    </row>
    <row r="14" spans="1:30" s="35" customFormat="1" ht="81" customHeight="1" thickBot="1">
      <c r="A14" s="34">
        <v>63</v>
      </c>
      <c r="B14" s="66">
        <v>43087</v>
      </c>
      <c r="C14" s="90">
        <v>43130</v>
      </c>
      <c r="D14" s="61">
        <v>1</v>
      </c>
      <c r="E14" s="62" t="s">
        <v>285</v>
      </c>
      <c r="F14" s="63" t="s">
        <v>214</v>
      </c>
      <c r="G14" s="62" t="s">
        <v>216</v>
      </c>
      <c r="H14" s="62" t="s">
        <v>286</v>
      </c>
      <c r="I14" s="70" t="s">
        <v>220</v>
      </c>
      <c r="J14" s="96" t="s">
        <v>305</v>
      </c>
      <c r="K14" s="69">
        <v>3213</v>
      </c>
      <c r="L14" s="69">
        <v>100</v>
      </c>
      <c r="M14" s="37">
        <f>IF(ISBLANK(K14),,((K14-L14*2)+1000)/9)</f>
        <v>445.88888888888891</v>
      </c>
    </row>
    <row r="15" spans="1:30" s="35" customFormat="1" ht="81" customHeight="1" thickBot="1">
      <c r="A15" s="34">
        <v>64</v>
      </c>
      <c r="B15" s="66">
        <v>43087</v>
      </c>
      <c r="C15" s="90">
        <v>43130</v>
      </c>
      <c r="D15" s="61">
        <v>15</v>
      </c>
      <c r="E15" s="62" t="s">
        <v>221</v>
      </c>
      <c r="F15" s="63" t="s">
        <v>215</v>
      </c>
      <c r="G15" s="62" t="s">
        <v>216</v>
      </c>
      <c r="H15" s="62" t="s">
        <v>217</v>
      </c>
      <c r="I15" s="70" t="s">
        <v>232</v>
      </c>
      <c r="J15" s="72" t="s">
        <v>260</v>
      </c>
      <c r="K15" s="69">
        <v>905</v>
      </c>
      <c r="L15" s="69">
        <v>103</v>
      </c>
      <c r="M15" s="37">
        <f>IF(ISBLANK(K15),,((K15-L15*2)+1000)/9)</f>
        <v>188.77777777777777</v>
      </c>
    </row>
    <row r="16" spans="1:30" s="35" customFormat="1" ht="81" customHeight="1" thickBot="1">
      <c r="A16" s="34">
        <v>46</v>
      </c>
      <c r="B16" s="66">
        <v>43072</v>
      </c>
      <c r="C16" s="90">
        <v>43130</v>
      </c>
      <c r="D16" s="61">
        <v>167</v>
      </c>
      <c r="E16" s="62" t="s">
        <v>32</v>
      </c>
      <c r="F16" s="63" t="s">
        <v>96</v>
      </c>
      <c r="G16" s="62" t="s">
        <v>97</v>
      </c>
      <c r="H16" s="62" t="s">
        <v>10</v>
      </c>
      <c r="I16" s="64" t="s">
        <v>98</v>
      </c>
      <c r="J16" s="62" t="s">
        <v>99</v>
      </c>
      <c r="K16" s="69">
        <v>245</v>
      </c>
      <c r="L16" s="69">
        <v>114</v>
      </c>
      <c r="M16" s="37">
        <f>IF(ISBLANK(K16),,((K16-L16*2)+1000)/9)</f>
        <v>113</v>
      </c>
    </row>
    <row r="17" spans="1:26" s="35" customFormat="1" ht="81" customHeight="1" thickBot="1">
      <c r="A17" s="34">
        <v>93</v>
      </c>
      <c r="B17" s="60">
        <v>43188</v>
      </c>
      <c r="C17" s="60">
        <v>43191</v>
      </c>
      <c r="D17" s="61">
        <v>6</v>
      </c>
      <c r="E17" s="62" t="s">
        <v>14</v>
      </c>
      <c r="F17" s="63" t="s">
        <v>339</v>
      </c>
      <c r="G17" s="62" t="s">
        <v>12</v>
      </c>
      <c r="H17" s="62" t="s">
        <v>13</v>
      </c>
      <c r="I17" s="64" t="s">
        <v>348</v>
      </c>
      <c r="J17" s="62" t="s">
        <v>349</v>
      </c>
      <c r="K17" s="65">
        <v>414</v>
      </c>
      <c r="L17" s="65">
        <v>1655</v>
      </c>
      <c r="M17" s="49">
        <f>IF(ISBLANK(K17),,((K17-L17*2)+1000)/9)</f>
        <v>-210.66666666666666</v>
      </c>
    </row>
    <row r="18" spans="1:26" s="35" customFormat="1" ht="81" customHeight="1" thickBot="1">
      <c r="A18" s="34">
        <v>28</v>
      </c>
      <c r="B18" s="66">
        <v>43051</v>
      </c>
      <c r="C18" s="89">
        <v>43137</v>
      </c>
      <c r="D18" s="61">
        <v>26</v>
      </c>
      <c r="E18" s="62" t="s">
        <v>32</v>
      </c>
      <c r="F18" s="63" t="s">
        <v>39</v>
      </c>
      <c r="G18" s="62" t="s">
        <v>12</v>
      </c>
      <c r="H18" s="62" t="s">
        <v>13</v>
      </c>
      <c r="I18" s="64" t="s">
        <v>194</v>
      </c>
      <c r="J18" s="62" t="s">
        <v>40</v>
      </c>
      <c r="K18" s="69">
        <v>261</v>
      </c>
      <c r="L18" s="69">
        <v>912</v>
      </c>
      <c r="M18" s="37">
        <f>IF(ISBLANK(K18),,((K18-L18*2)+1000)/9)</f>
        <v>-62.555555555555557</v>
      </c>
    </row>
    <row r="19" spans="1:26" s="35" customFormat="1" ht="81" customHeight="1" thickBot="1">
      <c r="A19" s="34">
        <v>31</v>
      </c>
      <c r="B19" s="66">
        <v>43051</v>
      </c>
      <c r="C19" s="89">
        <v>43051</v>
      </c>
      <c r="D19" s="61">
        <v>88</v>
      </c>
      <c r="E19" s="62" t="s">
        <v>32</v>
      </c>
      <c r="F19" s="63" t="s">
        <v>80</v>
      </c>
      <c r="G19" s="62" t="s">
        <v>12</v>
      </c>
      <c r="H19" s="62" t="s">
        <v>13</v>
      </c>
      <c r="I19" s="64" t="s">
        <v>81</v>
      </c>
      <c r="J19" s="62" t="s">
        <v>82</v>
      </c>
      <c r="K19" s="69">
        <v>196</v>
      </c>
      <c r="L19" s="69">
        <v>793</v>
      </c>
      <c r="M19" s="37">
        <f>IF(ISBLANK(K19),,((K19-L19*2)+1000)/9)</f>
        <v>-43.333333333333336</v>
      </c>
      <c r="R19" s="53"/>
      <c r="S19" s="53"/>
      <c r="T19" s="53"/>
      <c r="U19" s="53"/>
      <c r="V19" s="53"/>
      <c r="W19" s="53"/>
      <c r="X19" s="53"/>
      <c r="Y19" s="53"/>
      <c r="Z19" s="53"/>
    </row>
    <row r="20" spans="1:26" s="35" customFormat="1" ht="81" customHeight="1" thickBot="1">
      <c r="A20" s="34">
        <v>4</v>
      </c>
      <c r="B20" s="66">
        <v>43036</v>
      </c>
      <c r="C20" s="89">
        <v>43137</v>
      </c>
      <c r="D20" s="61">
        <v>162</v>
      </c>
      <c r="E20" s="62" t="s">
        <v>14</v>
      </c>
      <c r="F20" s="63" t="s">
        <v>93</v>
      </c>
      <c r="G20" s="62" t="s">
        <v>12</v>
      </c>
      <c r="H20" s="62" t="s">
        <v>13</v>
      </c>
      <c r="I20" s="64" t="s">
        <v>94</v>
      </c>
      <c r="J20" s="62" t="s">
        <v>95</v>
      </c>
      <c r="K20" s="69">
        <v>202</v>
      </c>
      <c r="L20" s="69">
        <v>447</v>
      </c>
      <c r="M20" s="37">
        <f>IF(ISBLANK(K20),,((K20-L20*2)+1000)/9)</f>
        <v>34.222222222222221</v>
      </c>
    </row>
    <row r="21" spans="1:26" s="35" customFormat="1" ht="81" customHeight="1" thickBot="1">
      <c r="A21" s="34">
        <v>96</v>
      </c>
      <c r="B21" s="60">
        <v>43189</v>
      </c>
      <c r="C21" s="60">
        <v>43191</v>
      </c>
      <c r="D21" s="61">
        <v>189</v>
      </c>
      <c r="E21" s="62" t="s">
        <v>32</v>
      </c>
      <c r="F21" s="63" t="s">
        <v>343</v>
      </c>
      <c r="G21" s="62" t="s">
        <v>12</v>
      </c>
      <c r="H21" s="62" t="s">
        <v>13</v>
      </c>
      <c r="I21" s="64" t="s">
        <v>354</v>
      </c>
      <c r="J21" s="62" t="s">
        <v>355</v>
      </c>
      <c r="K21" s="65">
        <v>422</v>
      </c>
      <c r="L21" s="65">
        <v>361</v>
      </c>
      <c r="M21" s="49">
        <f>IF(ISBLANK(K21),,((K21-L21*2)+1000)/9)</f>
        <v>77.777777777777771</v>
      </c>
    </row>
    <row r="22" spans="1:26" s="35" customFormat="1" ht="81" customHeight="1" thickBot="1">
      <c r="A22" s="34">
        <v>14</v>
      </c>
      <c r="B22" s="66">
        <v>43042</v>
      </c>
      <c r="C22" s="89">
        <v>43173</v>
      </c>
      <c r="D22" s="61">
        <v>215</v>
      </c>
      <c r="E22" s="62" t="s">
        <v>14</v>
      </c>
      <c r="F22" s="63" t="s">
        <v>110</v>
      </c>
      <c r="G22" s="62" t="s">
        <v>12</v>
      </c>
      <c r="H22" s="62" t="s">
        <v>13</v>
      </c>
      <c r="I22" s="64" t="s">
        <v>111</v>
      </c>
      <c r="J22" s="62" t="s">
        <v>330</v>
      </c>
      <c r="K22" s="69">
        <v>544</v>
      </c>
      <c r="L22" s="69">
        <v>56</v>
      </c>
      <c r="M22" s="37">
        <f>IF(ISBLANK(K22),,((K22-L22*2)+1000)/9)</f>
        <v>159.11111111111111</v>
      </c>
      <c r="N22" s="36"/>
    </row>
    <row r="23" spans="1:26" s="35" customFormat="1" ht="81" customHeight="1" thickBot="1">
      <c r="A23" s="34">
        <v>86</v>
      </c>
      <c r="B23" s="60">
        <v>43137</v>
      </c>
      <c r="C23" s="90">
        <v>43137</v>
      </c>
      <c r="D23" s="61">
        <v>217</v>
      </c>
      <c r="E23" s="62" t="s">
        <v>32</v>
      </c>
      <c r="F23" s="63" t="s">
        <v>316</v>
      </c>
      <c r="G23" s="62" t="s">
        <v>12</v>
      </c>
      <c r="H23" s="62" t="s">
        <v>13</v>
      </c>
      <c r="I23" s="64" t="s">
        <v>317</v>
      </c>
      <c r="J23" s="62" t="s">
        <v>318</v>
      </c>
      <c r="K23" s="65">
        <v>111</v>
      </c>
      <c r="L23" s="65">
        <v>208</v>
      </c>
      <c r="M23" s="49">
        <f>IF(ISBLANK(K23),,((K23-L23*2)+1000)/9)</f>
        <v>77.222222222222229</v>
      </c>
    </row>
    <row r="24" spans="1:26" s="35" customFormat="1" ht="81" customHeight="1" thickBot="1">
      <c r="A24" s="34">
        <v>87</v>
      </c>
      <c r="B24" s="60">
        <v>43137</v>
      </c>
      <c r="C24" s="90">
        <v>43137</v>
      </c>
      <c r="D24" s="61">
        <v>219</v>
      </c>
      <c r="E24" s="62" t="s">
        <v>32</v>
      </c>
      <c r="F24" s="63" t="s">
        <v>319</v>
      </c>
      <c r="G24" s="62" t="s">
        <v>12</v>
      </c>
      <c r="H24" s="62" t="s">
        <v>13</v>
      </c>
      <c r="I24" s="64" t="s">
        <v>320</v>
      </c>
      <c r="J24" s="62" t="s">
        <v>321</v>
      </c>
      <c r="K24" s="65">
        <v>155</v>
      </c>
      <c r="L24" s="65">
        <v>173</v>
      </c>
      <c r="M24" s="49">
        <f>IF(ISBLANK(K24),,((K24-L24*2)+1000)/9)</f>
        <v>89.888888888888886</v>
      </c>
    </row>
    <row r="25" spans="1:26" s="35" customFormat="1" ht="81" customHeight="1" thickBot="1">
      <c r="A25" s="34">
        <v>83</v>
      </c>
      <c r="B25" s="60">
        <v>43136</v>
      </c>
      <c r="C25" s="90">
        <v>43136</v>
      </c>
      <c r="D25" s="61">
        <v>283</v>
      </c>
      <c r="E25" s="62" t="s">
        <v>32</v>
      </c>
      <c r="F25" s="63" t="s">
        <v>271</v>
      </c>
      <c r="G25" s="62" t="s">
        <v>12</v>
      </c>
      <c r="H25" s="62" t="s">
        <v>13</v>
      </c>
      <c r="I25" s="64" t="s">
        <v>272</v>
      </c>
      <c r="J25" s="62" t="s">
        <v>273</v>
      </c>
      <c r="K25" s="65">
        <v>621</v>
      </c>
      <c r="L25" s="65">
        <v>30</v>
      </c>
      <c r="M25" s="49">
        <f>IF(ISBLANK(K25),,((K25-L25*2)+1000)/9)</f>
        <v>173.44444444444446</v>
      </c>
    </row>
    <row r="26" spans="1:26" s="35" customFormat="1" ht="81" customHeight="1" thickBot="1">
      <c r="A26" s="34">
        <v>15</v>
      </c>
      <c r="B26" s="66">
        <v>43042</v>
      </c>
      <c r="C26" s="89">
        <v>43130</v>
      </c>
      <c r="D26" s="61">
        <v>349</v>
      </c>
      <c r="E26" s="62" t="s">
        <v>32</v>
      </c>
      <c r="F26" s="63" t="s">
        <v>134</v>
      </c>
      <c r="G26" s="62" t="s">
        <v>12</v>
      </c>
      <c r="H26" s="62" t="s">
        <v>13</v>
      </c>
      <c r="I26" s="64" t="s">
        <v>135</v>
      </c>
      <c r="J26" s="62" t="s">
        <v>136</v>
      </c>
      <c r="K26" s="69"/>
      <c r="L26" s="69"/>
      <c r="M26" s="37">
        <f>IF(ISBLANK(K26),,((K26-L26*2)+1000)/9)</f>
        <v>0</v>
      </c>
    </row>
    <row r="27" spans="1:26" s="35" customFormat="1" ht="81" customHeight="1" thickBot="1">
      <c r="A27" s="34">
        <v>81</v>
      </c>
      <c r="B27" s="66">
        <v>43130</v>
      </c>
      <c r="C27" s="89">
        <v>43130</v>
      </c>
      <c r="D27" s="61">
        <v>350</v>
      </c>
      <c r="E27" s="62" t="s">
        <v>32</v>
      </c>
      <c r="F27" s="63" t="s">
        <v>256</v>
      </c>
      <c r="G27" s="62" t="s">
        <v>12</v>
      </c>
      <c r="H27" s="62" t="s">
        <v>13</v>
      </c>
      <c r="I27" s="64" t="s">
        <v>257</v>
      </c>
      <c r="J27" s="62" t="s">
        <v>258</v>
      </c>
      <c r="K27" s="69">
        <v>159</v>
      </c>
      <c r="L27" s="69">
        <v>77</v>
      </c>
      <c r="M27" s="37">
        <f>IF(ISBLANK(K27),,((K27-L27*2)+1000)/9)</f>
        <v>111.66666666666667</v>
      </c>
    </row>
    <row r="28" spans="1:26" s="35" customFormat="1" ht="81" customHeight="1" thickBot="1">
      <c r="A28" s="34">
        <v>16</v>
      </c>
      <c r="B28" s="66">
        <v>43042</v>
      </c>
      <c r="C28" s="89">
        <v>43082</v>
      </c>
      <c r="D28" s="61">
        <v>442</v>
      </c>
      <c r="E28" s="62" t="s">
        <v>14</v>
      </c>
      <c r="F28" s="63" t="s">
        <v>247</v>
      </c>
      <c r="G28" s="62" t="s">
        <v>12</v>
      </c>
      <c r="H28" s="62" t="s">
        <v>13</v>
      </c>
      <c r="I28" s="64" t="s">
        <v>309</v>
      </c>
      <c r="J28" s="62" t="s">
        <v>310</v>
      </c>
      <c r="K28" s="69">
        <v>325</v>
      </c>
      <c r="L28" s="69">
        <v>40</v>
      </c>
      <c r="M28" s="37">
        <f>IF(ISBLANK(K28),,((K28-L28*2)+1000)/9)</f>
        <v>138.33333333333334</v>
      </c>
    </row>
    <row r="29" spans="1:26" s="35" customFormat="1" ht="81" customHeight="1" thickBot="1">
      <c r="A29" s="34">
        <v>44</v>
      </c>
      <c r="B29" s="66">
        <v>43064</v>
      </c>
      <c r="C29" s="89">
        <v>43082</v>
      </c>
      <c r="D29" s="61">
        <v>448</v>
      </c>
      <c r="E29" s="62" t="s">
        <v>32</v>
      </c>
      <c r="F29" s="63" t="s">
        <v>166</v>
      </c>
      <c r="G29" s="62" t="s">
        <v>12</v>
      </c>
      <c r="H29" s="62" t="s">
        <v>13</v>
      </c>
      <c r="I29" s="64" t="s">
        <v>145</v>
      </c>
      <c r="J29" s="62" t="s">
        <v>146</v>
      </c>
      <c r="K29" s="69">
        <v>434</v>
      </c>
      <c r="L29" s="69">
        <v>48</v>
      </c>
      <c r="M29" s="37">
        <f>IF(ISBLANK(K29),,((K29-L29*2)+1000)/9)</f>
        <v>148.66666666666666</v>
      </c>
      <c r="R29" s="52"/>
      <c r="S29" s="52"/>
      <c r="T29" s="52"/>
      <c r="U29" s="52"/>
      <c r="V29" s="52"/>
      <c r="W29" s="52"/>
      <c r="X29" s="52"/>
      <c r="Y29" s="52"/>
      <c r="Z29" s="52"/>
    </row>
    <row r="30" spans="1:26" s="35" customFormat="1" ht="81" customHeight="1" thickBot="1">
      <c r="A30" s="34">
        <v>92</v>
      </c>
      <c r="B30" s="60">
        <v>43187</v>
      </c>
      <c r="C30" s="60">
        <v>43191</v>
      </c>
      <c r="D30" s="61">
        <v>561</v>
      </c>
      <c r="E30" s="62" t="s">
        <v>32</v>
      </c>
      <c r="F30" s="63" t="s">
        <v>338</v>
      </c>
      <c r="G30" s="62" t="s">
        <v>12</v>
      </c>
      <c r="H30" s="62" t="s">
        <v>13</v>
      </c>
      <c r="I30" s="64" t="s">
        <v>346</v>
      </c>
      <c r="J30" s="62" t="s">
        <v>347</v>
      </c>
      <c r="K30" s="65">
        <v>310</v>
      </c>
      <c r="L30" s="65">
        <v>846</v>
      </c>
      <c r="M30" s="49">
        <f>IF(ISBLANK(K30),,((K30-L30*2)+1000)/9)</f>
        <v>-42.444444444444443</v>
      </c>
    </row>
    <row r="31" spans="1:26" s="35" customFormat="1" ht="81" customHeight="1" thickBot="1">
      <c r="A31" s="34">
        <v>6</v>
      </c>
      <c r="B31" s="66">
        <v>43036</v>
      </c>
      <c r="C31" s="89">
        <v>43036</v>
      </c>
      <c r="D31" s="61">
        <v>54</v>
      </c>
      <c r="E31" s="62" t="s">
        <v>14</v>
      </c>
      <c r="F31" s="63" t="s">
        <v>52</v>
      </c>
      <c r="G31" s="62" t="s">
        <v>160</v>
      </c>
      <c r="H31" s="62" t="s">
        <v>16</v>
      </c>
      <c r="I31" s="64" t="s">
        <v>53</v>
      </c>
      <c r="J31" s="62"/>
      <c r="K31" s="69">
        <v>255</v>
      </c>
      <c r="L31" s="69">
        <v>128</v>
      </c>
      <c r="M31" s="37">
        <f>IF(ISBLANK(K31),,((K31-L31*2)+1000)/9)</f>
        <v>111</v>
      </c>
    </row>
    <row r="32" spans="1:26" s="35" customFormat="1" ht="81" customHeight="1" thickBot="1">
      <c r="A32" s="34">
        <v>5</v>
      </c>
      <c r="B32" s="66">
        <v>43036</v>
      </c>
      <c r="C32" s="89">
        <v>43036</v>
      </c>
      <c r="D32" s="61">
        <v>59</v>
      </c>
      <c r="E32" s="62" t="s">
        <v>14</v>
      </c>
      <c r="F32" s="63" t="s">
        <v>57</v>
      </c>
      <c r="G32" s="62" t="s">
        <v>160</v>
      </c>
      <c r="H32" s="62" t="s">
        <v>16</v>
      </c>
      <c r="I32" s="64" t="s">
        <v>58</v>
      </c>
      <c r="J32" s="62" t="s">
        <v>59</v>
      </c>
      <c r="K32" s="69">
        <v>120</v>
      </c>
      <c r="L32" s="69">
        <v>29</v>
      </c>
      <c r="M32" s="37">
        <f>IF(ISBLANK(K32),,((K32-L32*2)+1000)/9)</f>
        <v>118</v>
      </c>
    </row>
    <row r="33" spans="1:30" s="35" customFormat="1" ht="81" customHeight="1" thickBot="1">
      <c r="A33" s="34">
        <v>48</v>
      </c>
      <c r="B33" s="66">
        <v>43074</v>
      </c>
      <c r="C33" s="89">
        <v>43082</v>
      </c>
      <c r="D33" s="61">
        <v>73</v>
      </c>
      <c r="E33" s="62" t="s">
        <v>14</v>
      </c>
      <c r="F33" s="63" t="s">
        <v>73</v>
      </c>
      <c r="G33" s="62" t="s">
        <v>12</v>
      </c>
      <c r="H33" s="62" t="s">
        <v>16</v>
      </c>
      <c r="I33" s="64" t="s">
        <v>74</v>
      </c>
      <c r="J33" s="62" t="s">
        <v>75</v>
      </c>
      <c r="K33" s="69">
        <v>218</v>
      </c>
      <c r="L33" s="69">
        <v>65</v>
      </c>
      <c r="M33" s="37">
        <f>IF(ISBLANK(K33),,((K33-L33*2)+1000)/9)</f>
        <v>120.88888888888889</v>
      </c>
    </row>
    <row r="34" spans="1:30" s="35" customFormat="1" ht="81" customHeight="1" thickBot="1">
      <c r="A34" s="34">
        <v>41</v>
      </c>
      <c r="B34" s="66">
        <v>43062</v>
      </c>
      <c r="C34" s="89">
        <v>43062</v>
      </c>
      <c r="D34" s="61">
        <v>17</v>
      </c>
      <c r="E34" s="62" t="s">
        <v>14</v>
      </c>
      <c r="F34" s="68" t="s">
        <v>28</v>
      </c>
      <c r="G34" s="62" t="s">
        <v>21</v>
      </c>
      <c r="H34" s="62" t="s">
        <v>29</v>
      </c>
      <c r="I34" s="64" t="s">
        <v>30</v>
      </c>
      <c r="J34" s="62" t="s">
        <v>31</v>
      </c>
      <c r="K34" s="69">
        <v>480</v>
      </c>
      <c r="L34" s="69">
        <v>59</v>
      </c>
      <c r="M34" s="37">
        <f>IF(ISBLANK(K34),,((K34-L34*2)+1000)/9)</f>
        <v>151.33333333333334</v>
      </c>
    </row>
    <row r="35" spans="1:30" s="35" customFormat="1" ht="81" customHeight="1" thickBot="1">
      <c r="A35" s="34">
        <v>71</v>
      </c>
      <c r="B35" s="66">
        <v>43085</v>
      </c>
      <c r="C35" s="89">
        <v>43085</v>
      </c>
      <c r="D35" s="61">
        <v>22</v>
      </c>
      <c r="E35" s="62" t="s">
        <v>14</v>
      </c>
      <c r="F35" s="63" t="s">
        <v>223</v>
      </c>
      <c r="G35" s="62" t="s">
        <v>21</v>
      </c>
      <c r="H35" s="62" t="s">
        <v>29</v>
      </c>
      <c r="I35" s="64" t="s">
        <v>224</v>
      </c>
      <c r="J35" s="62" t="s">
        <v>225</v>
      </c>
      <c r="K35" s="69">
        <v>614</v>
      </c>
      <c r="L35" s="69">
        <v>41</v>
      </c>
      <c r="M35" s="37">
        <f>IF(ISBLANK(K35),,((K35-L35*2)+1000)/9)</f>
        <v>170.22222222222223</v>
      </c>
    </row>
    <row r="36" spans="1:30" s="35" customFormat="1" ht="81" customHeight="1" thickBot="1">
      <c r="A36" s="34">
        <v>11</v>
      </c>
      <c r="B36" s="66">
        <v>43038</v>
      </c>
      <c r="C36" s="89">
        <v>43038</v>
      </c>
      <c r="D36" s="61">
        <v>77</v>
      </c>
      <c r="E36" s="62" t="s">
        <v>14</v>
      </c>
      <c r="F36" s="68" t="s">
        <v>18</v>
      </c>
      <c r="G36" s="62" t="s">
        <v>21</v>
      </c>
      <c r="H36" s="62" t="s">
        <v>161</v>
      </c>
      <c r="I36" s="64" t="s">
        <v>76</v>
      </c>
      <c r="J36" s="62" t="s">
        <v>77</v>
      </c>
      <c r="K36" s="69">
        <v>254</v>
      </c>
      <c r="L36" s="69">
        <v>18</v>
      </c>
      <c r="M36" s="37">
        <f>IF(ISBLANK(K36),,((K36-L36*2)+1000)/9)</f>
        <v>135.33333333333334</v>
      </c>
      <c r="AA36" s="52"/>
      <c r="AB36" s="52"/>
      <c r="AC36" s="52"/>
      <c r="AD36" s="52"/>
    </row>
    <row r="37" spans="1:30" s="35" customFormat="1" ht="81" customHeight="1" thickBot="1">
      <c r="A37" s="34">
        <v>9</v>
      </c>
      <c r="B37" s="66">
        <v>43038</v>
      </c>
      <c r="C37" s="89">
        <v>43131</v>
      </c>
      <c r="D37" s="61">
        <v>46</v>
      </c>
      <c r="E37" s="62" t="s">
        <v>14</v>
      </c>
      <c r="F37" s="68" t="s">
        <v>268</v>
      </c>
      <c r="G37" s="62" t="s">
        <v>21</v>
      </c>
      <c r="H37" s="62" t="s">
        <v>158</v>
      </c>
      <c r="I37" s="70" t="s">
        <v>266</v>
      </c>
      <c r="J37" s="62" t="s">
        <v>302</v>
      </c>
      <c r="K37" s="69">
        <v>525</v>
      </c>
      <c r="L37" s="69">
        <v>17</v>
      </c>
      <c r="M37" s="37">
        <f>IF(ISBLANK(K37),,((K37-L37*2)+1000)/9)</f>
        <v>165.66666666666666</v>
      </c>
    </row>
    <row r="38" spans="1:30" s="35" customFormat="1" ht="81" customHeight="1" thickBot="1">
      <c r="A38" s="34">
        <v>10</v>
      </c>
      <c r="B38" s="66">
        <v>43038</v>
      </c>
      <c r="C38" s="89">
        <v>43131</v>
      </c>
      <c r="D38" s="61">
        <v>47</v>
      </c>
      <c r="E38" s="62" t="s">
        <v>14</v>
      </c>
      <c r="F38" s="68" t="s">
        <v>22</v>
      </c>
      <c r="G38" s="62" t="s">
        <v>21</v>
      </c>
      <c r="H38" s="62" t="s">
        <v>158</v>
      </c>
      <c r="I38" s="70" t="s">
        <v>267</v>
      </c>
      <c r="J38" s="62" t="s">
        <v>303</v>
      </c>
      <c r="K38" s="69">
        <v>288</v>
      </c>
      <c r="L38" s="69">
        <v>14</v>
      </c>
      <c r="M38" s="37">
        <f>IF(ISBLANK(K38),,((K38-L38*2)+1000)/9)</f>
        <v>140</v>
      </c>
      <c r="R38" s="50"/>
      <c r="S38" s="50"/>
      <c r="T38" s="50"/>
      <c r="U38" s="50"/>
      <c r="V38" s="50"/>
      <c r="W38" s="50"/>
      <c r="X38" s="50"/>
      <c r="Y38" s="50"/>
      <c r="Z38" s="50"/>
    </row>
    <row r="39" spans="1:30" s="35" customFormat="1" ht="81" customHeight="1" thickBot="1">
      <c r="A39" s="34">
        <v>7</v>
      </c>
      <c r="B39" s="66">
        <v>43037</v>
      </c>
      <c r="C39" s="89">
        <v>43037</v>
      </c>
      <c r="D39" s="61">
        <v>78</v>
      </c>
      <c r="E39" s="62" t="s">
        <v>14</v>
      </c>
      <c r="F39" s="68" t="s">
        <v>78</v>
      </c>
      <c r="G39" s="62" t="s">
        <v>21</v>
      </c>
      <c r="H39" s="62" t="s">
        <v>159</v>
      </c>
      <c r="I39" s="64" t="s">
        <v>50</v>
      </c>
      <c r="J39" s="62" t="s">
        <v>79</v>
      </c>
      <c r="K39" s="69">
        <v>521</v>
      </c>
      <c r="L39" s="69">
        <v>17</v>
      </c>
      <c r="M39" s="37">
        <f>IF(ISBLANK(K39),,((K39-L39*2)+1000)/9)</f>
        <v>165.22222222222223</v>
      </c>
    </row>
    <row r="40" spans="1:30" s="35" customFormat="1" ht="81" customHeight="1" thickBot="1">
      <c r="A40" s="34">
        <v>8</v>
      </c>
      <c r="B40" s="66">
        <v>43037</v>
      </c>
      <c r="C40" s="89">
        <v>43037</v>
      </c>
      <c r="D40" s="61">
        <v>90</v>
      </c>
      <c r="E40" s="62" t="s">
        <v>14</v>
      </c>
      <c r="F40" s="68" t="s">
        <v>23</v>
      </c>
      <c r="G40" s="62" t="s">
        <v>21</v>
      </c>
      <c r="H40" s="62" t="s">
        <v>159</v>
      </c>
      <c r="I40" s="64" t="s">
        <v>51</v>
      </c>
      <c r="J40" s="62"/>
      <c r="K40" s="69">
        <v>257</v>
      </c>
      <c r="L40" s="69">
        <v>11</v>
      </c>
      <c r="M40" s="37">
        <f>IF(ISBLANK(K40),,((K40-L40*2)+1000)/9)</f>
        <v>137.22222222222223</v>
      </c>
    </row>
    <row r="41" spans="1:30" s="35" customFormat="1" ht="81" customHeight="1" thickBot="1">
      <c r="A41" s="34">
        <v>89</v>
      </c>
      <c r="B41" s="60">
        <v>43138</v>
      </c>
      <c r="C41" s="90">
        <v>43138</v>
      </c>
      <c r="D41" s="61">
        <v>491</v>
      </c>
      <c r="E41" s="62" t="s">
        <v>14</v>
      </c>
      <c r="F41" s="63" t="s">
        <v>325</v>
      </c>
      <c r="G41" s="62" t="s">
        <v>21</v>
      </c>
      <c r="H41" s="62" t="s">
        <v>159</v>
      </c>
      <c r="I41" s="64" t="s">
        <v>326</v>
      </c>
      <c r="J41" s="62" t="s">
        <v>327</v>
      </c>
      <c r="K41" s="65">
        <v>131</v>
      </c>
      <c r="L41" s="65">
        <v>26</v>
      </c>
      <c r="M41" s="49">
        <f>IF(ISBLANK(K41),,((K41-L41*2)+1000)/9)</f>
        <v>119.88888888888889</v>
      </c>
    </row>
    <row r="42" spans="1:30" s="35" customFormat="1" ht="81" customHeight="1" thickBot="1">
      <c r="A42" s="34">
        <v>45</v>
      </c>
      <c r="B42" s="66">
        <v>43072</v>
      </c>
      <c r="C42" s="89">
        <v>43072</v>
      </c>
      <c r="D42" s="61">
        <v>31</v>
      </c>
      <c r="E42" s="62" t="s">
        <v>14</v>
      </c>
      <c r="F42" s="68" t="s">
        <v>44</v>
      </c>
      <c r="G42" s="62" t="s">
        <v>45</v>
      </c>
      <c r="H42" s="62" t="s">
        <v>46</v>
      </c>
      <c r="I42" s="64"/>
      <c r="J42" s="62"/>
      <c r="K42" s="69">
        <v>454</v>
      </c>
      <c r="L42" s="69">
        <v>114</v>
      </c>
      <c r="M42" s="37">
        <f>IF(ISBLANK(K42),,((K42-L42*2)+1000)/9)</f>
        <v>136.22222222222223</v>
      </c>
    </row>
    <row r="43" spans="1:30" s="35" customFormat="1" ht="81" customHeight="1" thickBot="1">
      <c r="A43" s="34">
        <v>2</v>
      </c>
      <c r="B43" s="66">
        <v>43030</v>
      </c>
      <c r="C43" s="89">
        <v>43082</v>
      </c>
      <c r="D43" s="61">
        <v>225</v>
      </c>
      <c r="E43" s="62" t="s">
        <v>32</v>
      </c>
      <c r="F43" s="63" t="s">
        <v>112</v>
      </c>
      <c r="G43" s="62" t="s">
        <v>113</v>
      </c>
      <c r="H43" s="62" t="s">
        <v>163</v>
      </c>
      <c r="I43" s="64" t="s">
        <v>193</v>
      </c>
      <c r="J43" s="62" t="s">
        <v>168</v>
      </c>
      <c r="K43" s="69">
        <v>73</v>
      </c>
      <c r="L43" s="69">
        <v>136</v>
      </c>
      <c r="M43" s="37">
        <f>IF(ISBLANK(K43),,((K43-L43*2)+1000)/9)</f>
        <v>89</v>
      </c>
      <c r="AA43" s="50"/>
      <c r="AB43" s="50"/>
      <c r="AC43" s="50"/>
      <c r="AD43" s="50"/>
    </row>
    <row r="44" spans="1:30" s="35" customFormat="1" ht="81" customHeight="1" thickBot="1">
      <c r="A44" s="34">
        <v>1</v>
      </c>
      <c r="B44" s="66">
        <v>43029</v>
      </c>
      <c r="C44" s="89">
        <v>43082</v>
      </c>
      <c r="D44" s="61">
        <v>232</v>
      </c>
      <c r="E44" s="62" t="s">
        <v>32</v>
      </c>
      <c r="F44" s="63" t="s">
        <v>117</v>
      </c>
      <c r="G44" s="62" t="s">
        <v>113</v>
      </c>
      <c r="H44" s="62" t="s">
        <v>163</v>
      </c>
      <c r="I44" s="64" t="s">
        <v>191</v>
      </c>
      <c r="J44" s="62" t="s">
        <v>192</v>
      </c>
      <c r="K44" s="69">
        <v>124</v>
      </c>
      <c r="L44" s="69">
        <v>54</v>
      </c>
      <c r="M44" s="37">
        <f>IF(ISBLANK(K44),,((K44-L44*2)+1000)/9)</f>
        <v>112.88888888888889</v>
      </c>
      <c r="P44" s="52"/>
      <c r="Q44" s="52"/>
    </row>
    <row r="45" spans="1:30" s="35" customFormat="1" ht="81" customHeight="1" thickBot="1">
      <c r="A45" s="34">
        <v>59</v>
      </c>
      <c r="B45" s="66">
        <v>43084</v>
      </c>
      <c r="C45" s="89"/>
      <c r="D45" s="61">
        <v>322</v>
      </c>
      <c r="E45" s="62" t="s">
        <v>14</v>
      </c>
      <c r="F45" s="63" t="s">
        <v>180</v>
      </c>
      <c r="G45" s="62" t="s">
        <v>24</v>
      </c>
      <c r="H45" s="62" t="s">
        <v>179</v>
      </c>
      <c r="I45" s="64" t="s">
        <v>181</v>
      </c>
      <c r="J45" s="62"/>
      <c r="K45" s="69">
        <v>280</v>
      </c>
      <c r="L45" s="69">
        <v>20</v>
      </c>
      <c r="M45" s="37">
        <f>IF(ISBLANK(K45),,((K45-L45*2)+1000)/9)</f>
        <v>137.77777777777777</v>
      </c>
    </row>
    <row r="46" spans="1:30" s="35" customFormat="1" ht="81" customHeight="1" thickBot="1">
      <c r="A46" s="34">
        <v>49</v>
      </c>
      <c r="B46" s="66">
        <v>43082</v>
      </c>
      <c r="C46" s="89">
        <v>43082</v>
      </c>
      <c r="D46" s="61">
        <v>53</v>
      </c>
      <c r="E46" s="62" t="s">
        <v>32</v>
      </c>
      <c r="F46" s="63" t="s">
        <v>67</v>
      </c>
      <c r="G46" s="62" t="s">
        <v>24</v>
      </c>
      <c r="H46" s="62" t="s">
        <v>61</v>
      </c>
      <c r="I46" s="64" t="s">
        <v>68</v>
      </c>
      <c r="J46" s="62"/>
      <c r="K46" s="69">
        <v>1030</v>
      </c>
      <c r="L46" s="69">
        <v>34</v>
      </c>
      <c r="M46" s="37">
        <f>IF(ISBLANK(K46),,((K46-L46*2)+1000)/9)</f>
        <v>218</v>
      </c>
    </row>
    <row r="47" spans="1:30" s="35" customFormat="1" ht="81" customHeight="1" thickBot="1">
      <c r="A47" s="34">
        <v>34</v>
      </c>
      <c r="B47" s="66">
        <v>43052</v>
      </c>
      <c r="C47" s="89">
        <v>43052</v>
      </c>
      <c r="D47" s="61">
        <v>62</v>
      </c>
      <c r="E47" s="62" t="s">
        <v>14</v>
      </c>
      <c r="F47" s="63" t="s">
        <v>60</v>
      </c>
      <c r="G47" s="62" t="s">
        <v>24</v>
      </c>
      <c r="H47" s="62" t="s">
        <v>61</v>
      </c>
      <c r="I47" s="64" t="s">
        <v>62</v>
      </c>
      <c r="J47" s="62" t="s">
        <v>63</v>
      </c>
      <c r="K47" s="69">
        <v>290</v>
      </c>
      <c r="L47" s="69">
        <v>17</v>
      </c>
      <c r="M47" s="37">
        <f>IF(ISBLANK(K47),,((K47-L47*2)+1000)/9)</f>
        <v>139.55555555555554</v>
      </c>
    </row>
    <row r="48" spans="1:30" s="35" customFormat="1" ht="81" customHeight="1" thickBot="1">
      <c r="A48" s="34">
        <v>35</v>
      </c>
      <c r="B48" s="66">
        <v>43052</v>
      </c>
      <c r="C48" s="89">
        <v>43052</v>
      </c>
      <c r="D48" s="61">
        <v>63</v>
      </c>
      <c r="E48" s="62" t="s">
        <v>14</v>
      </c>
      <c r="F48" s="63" t="s">
        <v>64</v>
      </c>
      <c r="G48" s="62" t="s">
        <v>24</v>
      </c>
      <c r="H48" s="62" t="s">
        <v>61</v>
      </c>
      <c r="I48" s="64" t="s">
        <v>65</v>
      </c>
      <c r="J48" s="62" t="s">
        <v>66</v>
      </c>
      <c r="K48" s="69">
        <v>134</v>
      </c>
      <c r="L48" s="69">
        <v>12</v>
      </c>
      <c r="M48" s="37">
        <f>IF(ISBLANK(K48),,((K48-L48*2)+1000)/9)</f>
        <v>123.33333333333333</v>
      </c>
    </row>
    <row r="49" spans="1:30" s="53" customFormat="1" ht="81" customHeight="1" thickBot="1">
      <c r="A49" s="34">
        <v>60</v>
      </c>
      <c r="B49" s="66">
        <v>43084</v>
      </c>
      <c r="C49" s="89"/>
      <c r="D49" s="61">
        <v>70</v>
      </c>
      <c r="E49" s="62" t="s">
        <v>32</v>
      </c>
      <c r="F49" s="63" t="s">
        <v>178</v>
      </c>
      <c r="G49" s="62" t="s">
        <v>24</v>
      </c>
      <c r="H49" s="62" t="s">
        <v>61</v>
      </c>
      <c r="I49" s="64" t="s">
        <v>182</v>
      </c>
      <c r="J49" s="62"/>
      <c r="K49" s="69">
        <v>486</v>
      </c>
      <c r="L49" s="69">
        <v>22</v>
      </c>
      <c r="M49" s="37">
        <f>IF(ISBLANK(K49),,((K49-L49*2)+1000)/9)</f>
        <v>160.22222222222223</v>
      </c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</row>
    <row r="50" spans="1:30" s="35" customFormat="1" ht="81" customHeight="1" thickBot="1">
      <c r="A50" s="34">
        <v>3</v>
      </c>
      <c r="B50" s="66">
        <v>43036</v>
      </c>
      <c r="C50" s="89">
        <v>43036</v>
      </c>
      <c r="D50" s="61">
        <v>120</v>
      </c>
      <c r="E50" s="62" t="s">
        <v>14</v>
      </c>
      <c r="F50" s="63" t="s">
        <v>11</v>
      </c>
      <c r="G50" s="62" t="s">
        <v>24</v>
      </c>
      <c r="H50" s="62" t="s">
        <v>61</v>
      </c>
      <c r="I50" s="64" t="s">
        <v>183</v>
      </c>
      <c r="J50" s="62" t="s">
        <v>86</v>
      </c>
      <c r="K50" s="69">
        <v>271</v>
      </c>
      <c r="L50" s="69">
        <v>2</v>
      </c>
      <c r="M50" s="37">
        <f>IF(ISBLANK(K50),,((K50-L50*2)+1000)/9)</f>
        <v>140.77777777777777</v>
      </c>
    </row>
    <row r="51" spans="1:30" s="35" customFormat="1" ht="81" customHeight="1" thickBot="1">
      <c r="A51" s="34">
        <v>90</v>
      </c>
      <c r="B51" s="60">
        <v>43174</v>
      </c>
      <c r="C51" s="60">
        <v>43174</v>
      </c>
      <c r="D51" s="61">
        <v>292</v>
      </c>
      <c r="E51" s="62" t="s">
        <v>331</v>
      </c>
      <c r="F51" s="63" t="s">
        <v>332</v>
      </c>
      <c r="G51" s="62" t="s">
        <v>333</v>
      </c>
      <c r="H51" s="62" t="s">
        <v>334</v>
      </c>
      <c r="I51" s="64" t="s">
        <v>335</v>
      </c>
      <c r="J51" s="72" t="s">
        <v>336</v>
      </c>
      <c r="K51" s="65">
        <v>148</v>
      </c>
      <c r="L51" s="65">
        <v>573</v>
      </c>
      <c r="M51" s="37">
        <f>IF(ISBLANK(K51),,((K51-L51*2)+1000)/9)</f>
        <v>0.22222222222222221</v>
      </c>
    </row>
    <row r="52" spans="1:30" s="35" customFormat="1" ht="81" customHeight="1" thickBot="1">
      <c r="A52" s="34">
        <v>61</v>
      </c>
      <c r="B52" s="66">
        <v>43087</v>
      </c>
      <c r="C52" s="91"/>
      <c r="D52" s="61">
        <v>198</v>
      </c>
      <c r="E52" s="62" t="s">
        <v>285</v>
      </c>
      <c r="F52" s="63" t="s">
        <v>211</v>
      </c>
      <c r="G52" s="62" t="s">
        <v>24</v>
      </c>
      <c r="H52" s="62" t="s">
        <v>297</v>
      </c>
      <c r="I52" s="70" t="s">
        <v>213</v>
      </c>
      <c r="J52" s="62"/>
      <c r="K52" s="69">
        <v>625</v>
      </c>
      <c r="L52" s="69">
        <v>18</v>
      </c>
      <c r="M52" s="37">
        <f>IF(ISBLANK(K52),,((K52-L52*2)+1000)/9)</f>
        <v>176.55555555555554</v>
      </c>
      <c r="O52" s="50"/>
      <c r="P52" s="50"/>
      <c r="Q52" s="50"/>
    </row>
    <row r="53" spans="1:30" s="35" customFormat="1" ht="81" customHeight="1" thickBot="1">
      <c r="A53" s="34">
        <v>62</v>
      </c>
      <c r="B53" s="66">
        <v>43087</v>
      </c>
      <c r="C53" s="91"/>
      <c r="D53" s="61">
        <v>213</v>
      </c>
      <c r="E53" s="62" t="s">
        <v>14</v>
      </c>
      <c r="F53" s="63" t="s">
        <v>212</v>
      </c>
      <c r="G53" s="62" t="s">
        <v>24</v>
      </c>
      <c r="H53" s="62" t="s">
        <v>298</v>
      </c>
      <c r="I53" s="64" t="s">
        <v>313</v>
      </c>
      <c r="J53" s="62"/>
      <c r="K53" s="69">
        <v>171</v>
      </c>
      <c r="L53" s="69">
        <v>5</v>
      </c>
      <c r="M53" s="37">
        <f>IF(ISBLANK(K53),,((K53-L53*2)+1000)/9)</f>
        <v>129</v>
      </c>
    </row>
    <row r="54" spans="1:30" s="35" customFormat="1" ht="81" customHeight="1" thickBot="1">
      <c r="A54" s="34">
        <v>33</v>
      </c>
      <c r="B54" s="66">
        <v>43051</v>
      </c>
      <c r="C54" s="89">
        <v>43051</v>
      </c>
      <c r="D54" s="61">
        <v>2</v>
      </c>
      <c r="E54" s="62" t="s">
        <v>176</v>
      </c>
      <c r="F54" s="63" t="s">
        <v>15</v>
      </c>
      <c r="G54" s="62" t="s">
        <v>17</v>
      </c>
      <c r="H54" s="62" t="s">
        <v>19</v>
      </c>
      <c r="I54" s="64" t="s">
        <v>20</v>
      </c>
      <c r="J54" s="64" t="s">
        <v>311</v>
      </c>
      <c r="K54" s="69">
        <v>1077</v>
      </c>
      <c r="L54" s="69">
        <v>386</v>
      </c>
      <c r="M54" s="37">
        <f>IF(ISBLANK(K54),,((K54-L54*2)+1000)/9)</f>
        <v>145</v>
      </c>
      <c r="AA54" s="53"/>
      <c r="AB54" s="53"/>
      <c r="AC54" s="53"/>
      <c r="AD54" s="53"/>
    </row>
    <row r="55" spans="1:30" s="35" customFormat="1" ht="81" customHeight="1" thickBot="1">
      <c r="A55" s="34">
        <v>58</v>
      </c>
      <c r="B55" s="66">
        <v>43084</v>
      </c>
      <c r="C55" s="89">
        <v>43084</v>
      </c>
      <c r="D55" s="61">
        <v>19</v>
      </c>
      <c r="E55" s="62" t="s">
        <v>14</v>
      </c>
      <c r="F55" s="63" t="s">
        <v>186</v>
      </c>
      <c r="G55" s="64" t="s">
        <v>17</v>
      </c>
      <c r="H55" s="64" t="s">
        <v>19</v>
      </c>
      <c r="I55" s="64" t="s">
        <v>190</v>
      </c>
      <c r="J55" s="64" t="s">
        <v>209</v>
      </c>
      <c r="K55" s="69">
        <v>367</v>
      </c>
      <c r="L55" s="69">
        <v>22</v>
      </c>
      <c r="M55" s="37">
        <f>IF(ISBLANK(K55),,((K55-L55*2)+1000)/9)</f>
        <v>147</v>
      </c>
    </row>
    <row r="56" spans="1:30" s="35" customFormat="1" ht="81" customHeight="1" thickBot="1">
      <c r="A56" s="34">
        <v>57</v>
      </c>
      <c r="B56" s="66">
        <v>43084</v>
      </c>
      <c r="C56" s="89">
        <v>43125</v>
      </c>
      <c r="D56" s="61">
        <v>21</v>
      </c>
      <c r="E56" s="62" t="s">
        <v>32</v>
      </c>
      <c r="F56" s="63" t="s">
        <v>184</v>
      </c>
      <c r="G56" s="64" t="s">
        <v>17</v>
      </c>
      <c r="H56" s="64" t="s">
        <v>19</v>
      </c>
      <c r="I56" s="64" t="s">
        <v>188</v>
      </c>
      <c r="J56" s="64" t="s">
        <v>307</v>
      </c>
      <c r="K56" s="69">
        <v>452</v>
      </c>
      <c r="L56" s="69">
        <v>102</v>
      </c>
      <c r="M56" s="37">
        <f>IF(ISBLANK(K56),,((K56-L56*2)+1000)/9)</f>
        <v>138.66666666666666</v>
      </c>
    </row>
    <row r="57" spans="1:30" s="35" customFormat="1" ht="81" customHeight="1" thickBot="1">
      <c r="A57" s="34">
        <v>56</v>
      </c>
      <c r="B57" s="66">
        <v>43084</v>
      </c>
      <c r="C57" s="89">
        <v>43125</v>
      </c>
      <c r="D57" s="61">
        <v>23</v>
      </c>
      <c r="E57" s="62" t="s">
        <v>187</v>
      </c>
      <c r="F57" s="63" t="s">
        <v>185</v>
      </c>
      <c r="G57" s="64" t="s">
        <v>17</v>
      </c>
      <c r="H57" s="64" t="s">
        <v>19</v>
      </c>
      <c r="I57" s="64" t="s">
        <v>189</v>
      </c>
      <c r="J57" s="64" t="s">
        <v>308</v>
      </c>
      <c r="K57" s="69">
        <v>526</v>
      </c>
      <c r="L57" s="69">
        <v>40</v>
      </c>
      <c r="M57" s="37">
        <f>IF(ISBLANK(K57),,((K57-L57*2)+1000)/9)</f>
        <v>160.66666666666666</v>
      </c>
    </row>
    <row r="58" spans="1:30" s="35" customFormat="1" ht="81" customHeight="1" thickBot="1">
      <c r="A58" s="34">
        <v>80</v>
      </c>
      <c r="B58" s="66">
        <v>43127</v>
      </c>
      <c r="C58" s="89">
        <v>43127</v>
      </c>
      <c r="D58" s="61">
        <v>92</v>
      </c>
      <c r="E58" s="62" t="s">
        <v>14</v>
      </c>
      <c r="F58" s="63" t="s">
        <v>253</v>
      </c>
      <c r="G58" s="62" t="s">
        <v>17</v>
      </c>
      <c r="H58" s="62" t="s">
        <v>19</v>
      </c>
      <c r="I58" s="64" t="s">
        <v>254</v>
      </c>
      <c r="J58" s="64" t="s">
        <v>255</v>
      </c>
      <c r="K58" s="69">
        <v>309</v>
      </c>
      <c r="L58" s="69">
        <v>30</v>
      </c>
      <c r="M58" s="37">
        <f>IF(ISBLANK(K58),,((K58-L58*2)+1000)/9)</f>
        <v>138.77777777777777</v>
      </c>
    </row>
    <row r="59" spans="1:30" s="35" customFormat="1" ht="81" customHeight="1" thickBot="1">
      <c r="A59" s="34">
        <v>78</v>
      </c>
      <c r="B59" s="60">
        <v>43127</v>
      </c>
      <c r="C59" s="90">
        <v>43127</v>
      </c>
      <c r="D59" s="61">
        <v>141</v>
      </c>
      <c r="E59" s="62" t="s">
        <v>32</v>
      </c>
      <c r="F59" s="63" t="s">
        <v>249</v>
      </c>
      <c r="G59" s="62" t="s">
        <v>17</v>
      </c>
      <c r="H59" s="62" t="s">
        <v>19</v>
      </c>
      <c r="I59" s="64" t="s">
        <v>250</v>
      </c>
      <c r="J59" s="62" t="s">
        <v>306</v>
      </c>
      <c r="K59" s="69">
        <v>454</v>
      </c>
      <c r="L59" s="69">
        <v>22</v>
      </c>
      <c r="M59" s="37">
        <f>IF(ISBLANK(K59),,((K59-L59*2)+1000)/9)</f>
        <v>156.66666666666666</v>
      </c>
    </row>
    <row r="60" spans="1:30" s="35" customFormat="1" ht="81" customHeight="1" thickBot="1">
      <c r="A60" s="34">
        <v>79</v>
      </c>
      <c r="B60" s="60">
        <v>43127</v>
      </c>
      <c r="C60" s="90">
        <v>43127</v>
      </c>
      <c r="D60" s="61">
        <v>142</v>
      </c>
      <c r="E60" s="62" t="s">
        <v>14</v>
      </c>
      <c r="F60" s="63" t="s">
        <v>248</v>
      </c>
      <c r="G60" s="62" t="s">
        <v>17</v>
      </c>
      <c r="H60" s="62" t="s">
        <v>19</v>
      </c>
      <c r="I60" s="64" t="s">
        <v>251</v>
      </c>
      <c r="J60" s="62" t="s">
        <v>252</v>
      </c>
      <c r="K60" s="69">
        <v>394</v>
      </c>
      <c r="L60" s="69">
        <v>23</v>
      </c>
      <c r="M60" s="37">
        <f>IF(ISBLANK(K60),,((K60-L60*2)+1000)/9)</f>
        <v>149.77777777777777</v>
      </c>
    </row>
    <row r="61" spans="1:30" s="35" customFormat="1" ht="81" customHeight="1" thickBot="1">
      <c r="A61" s="34">
        <v>77</v>
      </c>
      <c r="B61" s="66">
        <v>43125</v>
      </c>
      <c r="C61" s="89">
        <v>43125</v>
      </c>
      <c r="D61" s="61">
        <v>206</v>
      </c>
      <c r="E61" s="62" t="s">
        <v>32</v>
      </c>
      <c r="F61" s="63" t="s">
        <v>244</v>
      </c>
      <c r="G61" s="62" t="s">
        <v>17</v>
      </c>
      <c r="H61" s="62" t="s">
        <v>19</v>
      </c>
      <c r="I61" s="64" t="s">
        <v>245</v>
      </c>
      <c r="J61" s="64" t="s">
        <v>246</v>
      </c>
      <c r="K61" s="69">
        <v>620</v>
      </c>
      <c r="L61" s="69">
        <v>16</v>
      </c>
      <c r="M61" s="37">
        <f>IF(ISBLANK(K61),,((K61-L61*2)+1000)/9)</f>
        <v>176.44444444444446</v>
      </c>
    </row>
    <row r="62" spans="1:30" s="35" customFormat="1" ht="81" customHeight="1" thickBot="1">
      <c r="A62" s="34">
        <v>24</v>
      </c>
      <c r="B62" s="66">
        <v>43044</v>
      </c>
      <c r="C62" s="89">
        <v>43044</v>
      </c>
      <c r="D62" s="61">
        <v>136</v>
      </c>
      <c r="E62" s="62" t="s">
        <v>32</v>
      </c>
      <c r="F62" s="63" t="s">
        <v>87</v>
      </c>
      <c r="G62" s="62" t="s">
        <v>25</v>
      </c>
      <c r="H62" s="62" t="s">
        <v>26</v>
      </c>
      <c r="I62" s="64" t="s">
        <v>88</v>
      </c>
      <c r="J62" s="62" t="s">
        <v>89</v>
      </c>
      <c r="K62" s="69">
        <v>709</v>
      </c>
      <c r="L62" s="69">
        <v>19</v>
      </c>
      <c r="M62" s="37">
        <f>IF(ISBLANK(K62),,((K62-L62*2)+1000)/9)</f>
        <v>185.66666666666666</v>
      </c>
      <c r="N62" s="53"/>
    </row>
    <row r="63" spans="1:30" s="35" customFormat="1" ht="81" customHeight="1" thickBot="1">
      <c r="A63" s="34">
        <v>26</v>
      </c>
      <c r="B63" s="66">
        <v>43045</v>
      </c>
      <c r="C63" s="89">
        <v>43045</v>
      </c>
      <c r="D63" s="61">
        <v>137</v>
      </c>
      <c r="E63" s="62" t="s">
        <v>14</v>
      </c>
      <c r="F63" s="63" t="s">
        <v>90</v>
      </c>
      <c r="G63" s="62" t="s">
        <v>25</v>
      </c>
      <c r="H63" s="62" t="s">
        <v>26</v>
      </c>
      <c r="I63" s="64" t="s">
        <v>91</v>
      </c>
      <c r="J63" s="62" t="s">
        <v>92</v>
      </c>
      <c r="K63" s="69">
        <v>250</v>
      </c>
      <c r="L63" s="69">
        <v>99</v>
      </c>
      <c r="M63" s="37">
        <f>IF(ISBLANK(K63),,((K63-L63*2)+1000)/9)</f>
        <v>116.88888888888889</v>
      </c>
      <c r="O63" s="53"/>
      <c r="P63" s="53"/>
      <c r="Q63" s="53"/>
    </row>
    <row r="64" spans="1:30" s="35" customFormat="1" ht="81" customHeight="1" thickBot="1">
      <c r="A64" s="34">
        <v>18</v>
      </c>
      <c r="B64" s="66">
        <v>43044</v>
      </c>
      <c r="C64" s="89">
        <v>43044</v>
      </c>
      <c r="D64" s="61">
        <v>190</v>
      </c>
      <c r="E64" s="62" t="s">
        <v>32</v>
      </c>
      <c r="F64" s="63" t="s">
        <v>100</v>
      </c>
      <c r="G64" s="62" t="s">
        <v>25</v>
      </c>
      <c r="H64" s="62" t="s">
        <v>26</v>
      </c>
      <c r="I64" s="64" t="s">
        <v>101</v>
      </c>
      <c r="J64" s="62" t="s">
        <v>102</v>
      </c>
      <c r="K64" s="69">
        <v>172</v>
      </c>
      <c r="L64" s="69">
        <v>33</v>
      </c>
      <c r="M64" s="37">
        <f>IF(ISBLANK(K64),,((K64-L64*2)+1000)/9)</f>
        <v>122.88888888888889</v>
      </c>
    </row>
    <row r="65" spans="1:13" s="35" customFormat="1" ht="81" customHeight="1" thickBot="1">
      <c r="A65" s="34">
        <v>17</v>
      </c>
      <c r="B65" s="66">
        <v>43044</v>
      </c>
      <c r="C65" s="89">
        <v>43044</v>
      </c>
      <c r="D65" s="61">
        <v>191</v>
      </c>
      <c r="E65" s="62" t="s">
        <v>32</v>
      </c>
      <c r="F65" s="63" t="s">
        <v>103</v>
      </c>
      <c r="G65" s="62" t="s">
        <v>25</v>
      </c>
      <c r="H65" s="62" t="s">
        <v>26</v>
      </c>
      <c r="I65" s="64" t="s">
        <v>104</v>
      </c>
      <c r="J65" s="62" t="s">
        <v>105</v>
      </c>
      <c r="K65" s="69">
        <v>131</v>
      </c>
      <c r="L65" s="69">
        <v>120</v>
      </c>
      <c r="M65" s="37">
        <f>IF(ISBLANK(K65),,((K65-L65*2)+1000)/9)</f>
        <v>99</v>
      </c>
    </row>
    <row r="66" spans="1:13" s="35" customFormat="1" ht="81" customHeight="1" thickBot="1">
      <c r="A66" s="34">
        <v>22</v>
      </c>
      <c r="B66" s="66">
        <v>43044</v>
      </c>
      <c r="C66" s="89">
        <v>43044</v>
      </c>
      <c r="D66" s="61">
        <v>231</v>
      </c>
      <c r="E66" s="62" t="s">
        <v>32</v>
      </c>
      <c r="F66" s="63" t="s">
        <v>114</v>
      </c>
      <c r="G66" s="62" t="s">
        <v>25</v>
      </c>
      <c r="H66" s="62" t="s">
        <v>26</v>
      </c>
      <c r="I66" s="64" t="s">
        <v>115</v>
      </c>
      <c r="J66" s="62" t="s">
        <v>116</v>
      </c>
      <c r="K66" s="69">
        <v>122</v>
      </c>
      <c r="L66" s="69">
        <v>44</v>
      </c>
      <c r="M66" s="37">
        <f>IF(ISBLANK(K66),,((K66-L66*2)+1000)/9)</f>
        <v>114.88888888888889</v>
      </c>
    </row>
    <row r="67" spans="1:13" s="35" customFormat="1" ht="81" customHeight="1" thickBot="1">
      <c r="A67" s="34">
        <v>27</v>
      </c>
      <c r="B67" s="66">
        <v>43045</v>
      </c>
      <c r="C67" s="89">
        <v>43045</v>
      </c>
      <c r="D67" s="61">
        <v>260</v>
      </c>
      <c r="E67" s="62" t="s">
        <v>14</v>
      </c>
      <c r="F67" s="63" t="s">
        <v>122</v>
      </c>
      <c r="G67" s="62" t="s">
        <v>25</v>
      </c>
      <c r="H67" s="62" t="s">
        <v>26</v>
      </c>
      <c r="I67" s="64" t="s">
        <v>123</v>
      </c>
      <c r="J67" s="62" t="s">
        <v>124</v>
      </c>
      <c r="K67" s="69">
        <v>271</v>
      </c>
      <c r="L67" s="69">
        <v>35</v>
      </c>
      <c r="M67" s="37">
        <f>IF(ISBLANK(K67),,((K67-L67*2)+1000)/9)</f>
        <v>133.44444444444446</v>
      </c>
    </row>
    <row r="68" spans="1:13" s="35" customFormat="1" ht="81" customHeight="1" thickBot="1">
      <c r="A68" s="34">
        <v>19</v>
      </c>
      <c r="B68" s="66">
        <v>43044</v>
      </c>
      <c r="C68" s="89">
        <v>43044</v>
      </c>
      <c r="D68" s="61">
        <v>268</v>
      </c>
      <c r="E68" s="62" t="s">
        <v>32</v>
      </c>
      <c r="F68" s="63" t="s">
        <v>125</v>
      </c>
      <c r="G68" s="62" t="s">
        <v>25</v>
      </c>
      <c r="H68" s="62" t="s">
        <v>26</v>
      </c>
      <c r="I68" s="64" t="s">
        <v>126</v>
      </c>
      <c r="J68" s="62" t="s">
        <v>127</v>
      </c>
      <c r="K68" s="69">
        <v>251</v>
      </c>
      <c r="L68" s="69">
        <v>553</v>
      </c>
      <c r="M68" s="37">
        <f>IF(ISBLANK(K68),,((K68-L68*2)+1000)/9)</f>
        <v>16.111111111111111</v>
      </c>
    </row>
    <row r="69" spans="1:13" s="35" customFormat="1" ht="81" customHeight="1" thickBot="1">
      <c r="A69" s="34">
        <v>23</v>
      </c>
      <c r="B69" s="66">
        <v>43044</v>
      </c>
      <c r="C69" s="89">
        <v>43044</v>
      </c>
      <c r="D69" s="61">
        <v>338</v>
      </c>
      <c r="E69" s="62" t="s">
        <v>14</v>
      </c>
      <c r="F69" s="63" t="s">
        <v>128</v>
      </c>
      <c r="G69" s="62" t="s">
        <v>25</v>
      </c>
      <c r="H69" s="62" t="s">
        <v>26</v>
      </c>
      <c r="I69" s="64" t="s">
        <v>129</v>
      </c>
      <c r="J69" s="62" t="s">
        <v>130</v>
      </c>
      <c r="K69" s="69">
        <v>398</v>
      </c>
      <c r="L69" s="69">
        <v>35</v>
      </c>
      <c r="M69" s="37">
        <f>IF(ISBLANK(K69),,((K69-L69*2)+1000)/9)</f>
        <v>147.55555555555554</v>
      </c>
    </row>
    <row r="70" spans="1:13" s="35" customFormat="1" ht="81" customHeight="1" thickBot="1">
      <c r="A70" s="34">
        <v>20</v>
      </c>
      <c r="B70" s="66">
        <v>43044</v>
      </c>
      <c r="C70" s="89">
        <v>43044</v>
      </c>
      <c r="D70" s="61">
        <v>342</v>
      </c>
      <c r="E70" s="62" t="s">
        <v>32</v>
      </c>
      <c r="F70" s="63" t="s">
        <v>131</v>
      </c>
      <c r="G70" s="62" t="s">
        <v>25</v>
      </c>
      <c r="H70" s="62" t="s">
        <v>26</v>
      </c>
      <c r="I70" s="64" t="s">
        <v>132</v>
      </c>
      <c r="J70" s="62" t="s">
        <v>133</v>
      </c>
      <c r="K70" s="69">
        <v>131</v>
      </c>
      <c r="L70" s="69">
        <v>59</v>
      </c>
      <c r="M70" s="37">
        <f>IF(ISBLANK(K70),,((K70-L70*2)+1000)/9)</f>
        <v>112.55555555555556</v>
      </c>
    </row>
    <row r="71" spans="1:13" s="35" customFormat="1" ht="81" customHeight="1" thickBot="1">
      <c r="A71" s="34">
        <v>21</v>
      </c>
      <c r="B71" s="66">
        <v>43044</v>
      </c>
      <c r="C71" s="89">
        <v>43044</v>
      </c>
      <c r="D71" s="61">
        <v>371</v>
      </c>
      <c r="E71" s="62" t="s">
        <v>32</v>
      </c>
      <c r="F71" s="63" t="s">
        <v>137</v>
      </c>
      <c r="G71" s="62" t="s">
        <v>25</v>
      </c>
      <c r="H71" s="62" t="s">
        <v>26</v>
      </c>
      <c r="I71" s="64" t="s">
        <v>138</v>
      </c>
      <c r="J71" s="62" t="s">
        <v>139</v>
      </c>
      <c r="K71" s="69">
        <v>294</v>
      </c>
      <c r="L71" s="69">
        <v>357</v>
      </c>
      <c r="M71" s="37">
        <f>IF(ISBLANK(K71),,((K71-L71*2)+1000)/9)</f>
        <v>64.444444444444443</v>
      </c>
    </row>
    <row r="72" spans="1:13" s="35" customFormat="1" ht="81" customHeight="1" thickBot="1">
      <c r="A72" s="34">
        <v>25</v>
      </c>
      <c r="B72" s="66">
        <v>43044</v>
      </c>
      <c r="C72" s="89">
        <v>43044</v>
      </c>
      <c r="D72" s="61">
        <v>461</v>
      </c>
      <c r="E72" s="62" t="s">
        <v>32</v>
      </c>
      <c r="F72" s="63" t="s">
        <v>147</v>
      </c>
      <c r="G72" s="62" t="s">
        <v>25</v>
      </c>
      <c r="H72" s="62" t="s">
        <v>26</v>
      </c>
      <c r="I72" s="64" t="s">
        <v>148</v>
      </c>
      <c r="J72" s="62" t="s">
        <v>149</v>
      </c>
      <c r="K72" s="69">
        <v>585</v>
      </c>
      <c r="L72" s="69">
        <v>48</v>
      </c>
      <c r="M72" s="37">
        <f>IF(ISBLANK(K72),,((K72-L72*2)+1000)/9)</f>
        <v>165.44444444444446</v>
      </c>
    </row>
    <row r="73" spans="1:13" s="35" customFormat="1" ht="81" customHeight="1" thickBot="1">
      <c r="A73" s="34">
        <v>94</v>
      </c>
      <c r="B73" s="60">
        <v>43188</v>
      </c>
      <c r="C73" s="60">
        <v>43191</v>
      </c>
      <c r="D73" s="61">
        <v>172</v>
      </c>
      <c r="E73" s="62" t="s">
        <v>32</v>
      </c>
      <c r="F73" s="63" t="s">
        <v>340</v>
      </c>
      <c r="G73" s="62" t="s">
        <v>25</v>
      </c>
      <c r="H73" s="62" t="s">
        <v>341</v>
      </c>
      <c r="I73" s="64" t="s">
        <v>350</v>
      </c>
      <c r="J73" s="62" t="s">
        <v>351</v>
      </c>
      <c r="K73" s="65">
        <v>193</v>
      </c>
      <c r="L73" s="65">
        <v>244</v>
      </c>
      <c r="M73" s="49">
        <f>IF(ISBLANK(K73),,((K73-L73*2)+1000)/9)</f>
        <v>78.333333333333329</v>
      </c>
    </row>
    <row r="74" spans="1:13" s="35" customFormat="1" ht="81" customHeight="1" thickBot="1">
      <c r="A74" s="34">
        <v>67</v>
      </c>
      <c r="B74" s="66">
        <v>43087</v>
      </c>
      <c r="C74" s="91"/>
      <c r="D74" s="61">
        <v>75</v>
      </c>
      <c r="E74" s="62" t="s">
        <v>14</v>
      </c>
      <c r="F74" s="63" t="s">
        <v>299</v>
      </c>
      <c r="G74" s="62" t="s">
        <v>300</v>
      </c>
      <c r="H74" s="62" t="s">
        <v>301</v>
      </c>
      <c r="I74" s="64"/>
      <c r="J74" s="62"/>
      <c r="K74" s="69">
        <v>358</v>
      </c>
      <c r="L74" s="69">
        <v>50</v>
      </c>
      <c r="M74" s="37">
        <f>IF(ISBLANK(K74),,((K74-L74*2)+1000)/9)</f>
        <v>139.77777777777777</v>
      </c>
    </row>
    <row r="75" spans="1:13" s="35" customFormat="1" ht="81" customHeight="1" thickBot="1">
      <c r="A75" s="34">
        <v>12</v>
      </c>
      <c r="B75" s="66">
        <v>43039</v>
      </c>
      <c r="C75" s="89">
        <v>43039</v>
      </c>
      <c r="D75" s="61">
        <v>657</v>
      </c>
      <c r="E75" s="62" t="s">
        <v>32</v>
      </c>
      <c r="F75" s="63" t="s">
        <v>153</v>
      </c>
      <c r="G75" s="62" t="s">
        <v>33</v>
      </c>
      <c r="H75" s="62" t="s">
        <v>164</v>
      </c>
      <c r="I75" s="64" t="s">
        <v>154</v>
      </c>
      <c r="J75" s="62" t="s">
        <v>155</v>
      </c>
      <c r="K75" s="69">
        <v>330</v>
      </c>
      <c r="L75" s="69">
        <v>283</v>
      </c>
      <c r="M75" s="37">
        <f>IF(ISBLANK(K75),,((K75-L75*2)+1000)/9)</f>
        <v>84.888888888888886</v>
      </c>
    </row>
    <row r="76" spans="1:13" s="35" customFormat="1" ht="81" customHeight="1" thickBot="1">
      <c r="A76" s="34">
        <v>95</v>
      </c>
      <c r="B76" s="60">
        <v>43189</v>
      </c>
      <c r="C76" s="60">
        <v>43191</v>
      </c>
      <c r="D76" s="61">
        <v>67</v>
      </c>
      <c r="E76" s="62" t="s">
        <v>32</v>
      </c>
      <c r="F76" s="63" t="s">
        <v>342</v>
      </c>
      <c r="G76" s="62" t="s">
        <v>33</v>
      </c>
      <c r="H76" s="62" t="s">
        <v>70</v>
      </c>
      <c r="I76" s="64" t="s">
        <v>352</v>
      </c>
      <c r="J76" s="62" t="s">
        <v>353</v>
      </c>
      <c r="K76" s="65">
        <v>346</v>
      </c>
      <c r="L76" s="65">
        <v>85</v>
      </c>
      <c r="M76" s="49">
        <f>IF(ISBLANK(K76),,((K76-L76*2)+1000)/9)</f>
        <v>130.66666666666666</v>
      </c>
    </row>
    <row r="77" spans="1:13" s="35" customFormat="1" ht="81" customHeight="1" thickBot="1">
      <c r="A77" s="34">
        <v>72</v>
      </c>
      <c r="B77" s="66">
        <v>43087</v>
      </c>
      <c r="C77" s="91"/>
      <c r="D77" s="61">
        <v>415</v>
      </c>
      <c r="E77" s="62" t="s">
        <v>32</v>
      </c>
      <c r="F77" s="63" t="s">
        <v>233</v>
      </c>
      <c r="G77" s="62" t="s">
        <v>33</v>
      </c>
      <c r="H77" s="62" t="s">
        <v>70</v>
      </c>
      <c r="I77" s="64" t="s">
        <v>234</v>
      </c>
      <c r="J77" s="62"/>
      <c r="K77" s="69">
        <v>108</v>
      </c>
      <c r="L77" s="69">
        <v>33</v>
      </c>
      <c r="M77" s="37">
        <f>IF(ISBLANK(K77),,((K77-L77*2)+1000)/9)</f>
        <v>115.77777777777777</v>
      </c>
    </row>
    <row r="78" spans="1:13" s="35" customFormat="1" ht="81" customHeight="1" thickBot="1">
      <c r="A78" s="34">
        <v>39</v>
      </c>
      <c r="B78" s="66">
        <v>43062</v>
      </c>
      <c r="C78" s="89">
        <v>43062</v>
      </c>
      <c r="D78" s="61">
        <v>20</v>
      </c>
      <c r="E78" s="62" t="s">
        <v>32</v>
      </c>
      <c r="F78" s="63" t="s">
        <v>34</v>
      </c>
      <c r="G78" s="62" t="s">
        <v>35</v>
      </c>
      <c r="H78" s="62" t="s">
        <v>36</v>
      </c>
      <c r="I78" s="64" t="s">
        <v>37</v>
      </c>
      <c r="J78" s="62" t="s">
        <v>38</v>
      </c>
      <c r="K78" s="69">
        <v>627</v>
      </c>
      <c r="L78" s="69">
        <v>39</v>
      </c>
      <c r="M78" s="37">
        <f>IF(ISBLANK(K78),,((K78-L78*2)+1000)/9)</f>
        <v>172.11111111111111</v>
      </c>
    </row>
    <row r="79" spans="1:13" s="35" customFormat="1" ht="81" customHeight="1" thickBot="1">
      <c r="A79" s="34">
        <v>29</v>
      </c>
      <c r="B79" s="66">
        <v>43051</v>
      </c>
      <c r="C79" s="89">
        <v>43051</v>
      </c>
      <c r="D79" s="61">
        <v>28</v>
      </c>
      <c r="E79" s="62" t="s">
        <v>32</v>
      </c>
      <c r="F79" s="63" t="s">
        <v>41</v>
      </c>
      <c r="G79" s="62" t="s">
        <v>35</v>
      </c>
      <c r="H79" s="62" t="s">
        <v>36</v>
      </c>
      <c r="I79" s="64" t="s">
        <v>42</v>
      </c>
      <c r="J79" s="62" t="s">
        <v>43</v>
      </c>
      <c r="K79" s="69">
        <v>193</v>
      </c>
      <c r="L79" s="69">
        <v>370</v>
      </c>
      <c r="M79" s="37">
        <f>IF(ISBLANK(K79),,((K79-L79*2)+1000)/9)</f>
        <v>50.333333333333336</v>
      </c>
    </row>
    <row r="80" spans="1:13" s="35" customFormat="1" ht="81" customHeight="1" thickBot="1">
      <c r="A80" s="34">
        <v>30</v>
      </c>
      <c r="B80" s="66">
        <v>43051</v>
      </c>
      <c r="C80" s="89">
        <v>43051</v>
      </c>
      <c r="D80" s="61">
        <v>38</v>
      </c>
      <c r="E80" s="62" t="s">
        <v>32</v>
      </c>
      <c r="F80" s="63" t="s">
        <v>47</v>
      </c>
      <c r="G80" s="62" t="s">
        <v>35</v>
      </c>
      <c r="H80" s="62" t="s">
        <v>36</v>
      </c>
      <c r="I80" s="64" t="s">
        <v>48</v>
      </c>
      <c r="J80" s="62" t="s">
        <v>49</v>
      </c>
      <c r="K80" s="69">
        <v>160</v>
      </c>
      <c r="L80" s="69">
        <v>1169</v>
      </c>
      <c r="M80" s="37">
        <f>IF(ISBLANK(K80),,((K80-L80*2)+1000)/9)</f>
        <v>-130.88888888888889</v>
      </c>
    </row>
    <row r="81" spans="1:17" s="35" customFormat="1" ht="81" customHeight="1" thickBot="1">
      <c r="A81" s="34">
        <v>36</v>
      </c>
      <c r="B81" s="66">
        <v>43062</v>
      </c>
      <c r="C81" s="89">
        <v>43062</v>
      </c>
      <c r="D81" s="61">
        <v>58</v>
      </c>
      <c r="E81" s="62" t="s">
        <v>32</v>
      </c>
      <c r="F81" s="63" t="s">
        <v>54</v>
      </c>
      <c r="G81" s="62" t="s">
        <v>35</v>
      </c>
      <c r="H81" s="62" t="s">
        <v>36</v>
      </c>
      <c r="I81" s="64" t="s">
        <v>55</v>
      </c>
      <c r="J81" s="62" t="s">
        <v>56</v>
      </c>
      <c r="K81" s="69">
        <v>75</v>
      </c>
      <c r="L81" s="69">
        <v>341</v>
      </c>
      <c r="M81" s="37">
        <f>IF(ISBLANK(K81),,((K81-L81*2)+1000)/9)</f>
        <v>43.666666666666664</v>
      </c>
    </row>
    <row r="82" spans="1:17" s="35" customFormat="1" ht="81" customHeight="1" thickBot="1">
      <c r="A82" s="34">
        <v>68</v>
      </c>
      <c r="B82" s="66">
        <v>43087</v>
      </c>
      <c r="C82" s="89">
        <v>43087</v>
      </c>
      <c r="D82" s="61">
        <v>125</v>
      </c>
      <c r="E82" s="62" t="s">
        <v>32</v>
      </c>
      <c r="F82" s="63" t="s">
        <v>288</v>
      </c>
      <c r="G82" s="62" t="s">
        <v>289</v>
      </c>
      <c r="H82" s="62" t="s">
        <v>290</v>
      </c>
      <c r="I82" s="64" t="s">
        <v>227</v>
      </c>
      <c r="J82" s="62" t="s">
        <v>226</v>
      </c>
      <c r="K82" s="69">
        <v>126</v>
      </c>
      <c r="L82" s="69">
        <v>462</v>
      </c>
      <c r="M82" s="37">
        <f>IF(ISBLANK(K82),,((K82-L82*2)+1000)/9)</f>
        <v>22.444444444444443</v>
      </c>
    </row>
    <row r="83" spans="1:17" s="35" customFormat="1" ht="81" customHeight="1" thickBot="1">
      <c r="A83" s="34">
        <v>37</v>
      </c>
      <c r="B83" s="66">
        <v>43062</v>
      </c>
      <c r="C83" s="89">
        <v>43062</v>
      </c>
      <c r="D83" s="61">
        <v>383</v>
      </c>
      <c r="E83" s="62" t="s">
        <v>32</v>
      </c>
      <c r="F83" s="63" t="s">
        <v>140</v>
      </c>
      <c r="G83" s="62" t="s">
        <v>35</v>
      </c>
      <c r="H83" s="62" t="s">
        <v>36</v>
      </c>
      <c r="I83" s="64" t="s">
        <v>141</v>
      </c>
      <c r="J83" s="62" t="s">
        <v>142</v>
      </c>
      <c r="K83" s="69">
        <v>96</v>
      </c>
      <c r="L83" s="69">
        <v>27</v>
      </c>
      <c r="M83" s="37">
        <f>IF(ISBLANK(K83),,((K83-L83*2)+1000)/9)</f>
        <v>115.77777777777777</v>
      </c>
    </row>
    <row r="84" spans="1:17" s="35" customFormat="1" ht="81" customHeight="1" thickBot="1">
      <c r="A84" s="34">
        <v>40</v>
      </c>
      <c r="B84" s="66">
        <v>43062</v>
      </c>
      <c r="C84" s="89">
        <v>43062</v>
      </c>
      <c r="D84" s="61">
        <v>66</v>
      </c>
      <c r="E84" s="62" t="s">
        <v>32</v>
      </c>
      <c r="F84" s="63" t="s">
        <v>69</v>
      </c>
      <c r="G84" s="62" t="s">
        <v>35</v>
      </c>
      <c r="H84" s="62" t="s">
        <v>70</v>
      </c>
      <c r="I84" s="64" t="s">
        <v>71</v>
      </c>
      <c r="J84" s="62" t="s">
        <v>72</v>
      </c>
      <c r="K84" s="69">
        <v>164</v>
      </c>
      <c r="L84" s="69">
        <v>348</v>
      </c>
      <c r="M84" s="37">
        <f>IF(ISBLANK(K84),,((K84-L84*2)+1000)/9)</f>
        <v>52</v>
      </c>
    </row>
    <row r="85" spans="1:17" s="35" customFormat="1" ht="81" customHeight="1" thickBot="1">
      <c r="A85" s="34">
        <v>47</v>
      </c>
      <c r="B85" s="66">
        <v>43073</v>
      </c>
      <c r="C85" s="89">
        <v>43082</v>
      </c>
      <c r="D85" s="61">
        <v>235</v>
      </c>
      <c r="E85" s="62" t="s">
        <v>32</v>
      </c>
      <c r="F85" s="63" t="s">
        <v>118</v>
      </c>
      <c r="G85" s="62" t="s">
        <v>27</v>
      </c>
      <c r="H85" s="62" t="s">
        <v>119</v>
      </c>
      <c r="I85" s="64" t="s">
        <v>120</v>
      </c>
      <c r="J85" s="62" t="s">
        <v>121</v>
      </c>
      <c r="K85" s="69">
        <v>257</v>
      </c>
      <c r="L85" s="69">
        <v>35</v>
      </c>
      <c r="M85" s="37">
        <f>IF(ISBLANK(K85),,((K85-L85*2)+1000)/9)</f>
        <v>131.88888888888889</v>
      </c>
      <c r="O85" s="50"/>
      <c r="P85" s="50"/>
      <c r="Q85" s="50"/>
    </row>
    <row r="86" spans="1:17" s="35" customFormat="1" ht="81" customHeight="1" thickBot="1">
      <c r="A86" s="34">
        <v>76</v>
      </c>
      <c r="B86" s="66">
        <v>43125</v>
      </c>
      <c r="C86" s="89">
        <v>43125</v>
      </c>
      <c r="D86" s="61">
        <v>538</v>
      </c>
      <c r="E86" s="62" t="s">
        <v>32</v>
      </c>
      <c r="F86" s="63" t="s">
        <v>241</v>
      </c>
      <c r="G86" s="62" t="s">
        <v>27</v>
      </c>
      <c r="H86" s="62" t="s">
        <v>119</v>
      </c>
      <c r="I86" s="64" t="s">
        <v>242</v>
      </c>
      <c r="J86" s="62" t="s">
        <v>243</v>
      </c>
      <c r="K86" s="69">
        <v>448</v>
      </c>
      <c r="L86" s="69">
        <v>38</v>
      </c>
      <c r="M86" s="37">
        <f>IF(ISBLANK(K86),,((K86-L86*2)+1000)/9)</f>
        <v>152.44444444444446</v>
      </c>
    </row>
    <row r="87" spans="1:17" s="35" customFormat="1" ht="81" customHeight="1" thickBot="1">
      <c r="A87" s="34">
        <v>13</v>
      </c>
      <c r="B87" s="66">
        <v>43042</v>
      </c>
      <c r="C87" s="89">
        <v>43042</v>
      </c>
      <c r="D87" s="61">
        <v>669</v>
      </c>
      <c r="E87" s="62" t="s">
        <v>32</v>
      </c>
      <c r="F87" s="63" t="s">
        <v>156</v>
      </c>
      <c r="G87" s="62" t="s">
        <v>27</v>
      </c>
      <c r="H87" s="62" t="s">
        <v>295</v>
      </c>
      <c r="I87" s="64" t="s">
        <v>157</v>
      </c>
      <c r="J87" s="62" t="s">
        <v>312</v>
      </c>
      <c r="K87" s="69">
        <v>323</v>
      </c>
      <c r="L87" s="69">
        <v>59</v>
      </c>
      <c r="M87" s="37">
        <f>IF(ISBLANK(K87),,((K87-L87*2)+1000)/9)</f>
        <v>133.88888888888889</v>
      </c>
    </row>
    <row r="88" spans="1:17" s="35" customFormat="1" ht="81" customHeight="1" thickBot="1">
      <c r="A88" s="34">
        <v>74</v>
      </c>
      <c r="B88" s="60">
        <v>43123</v>
      </c>
      <c r="C88" s="90">
        <v>43123</v>
      </c>
      <c r="D88" s="61">
        <v>94</v>
      </c>
      <c r="E88" s="62" t="s">
        <v>14</v>
      </c>
      <c r="F88" s="63" t="s">
        <v>237</v>
      </c>
      <c r="G88" s="62" t="s">
        <v>27</v>
      </c>
      <c r="H88" s="62" t="s">
        <v>236</v>
      </c>
      <c r="I88" s="64" t="s">
        <v>238</v>
      </c>
      <c r="J88" s="75" t="s">
        <v>314</v>
      </c>
      <c r="K88" s="69">
        <v>378</v>
      </c>
      <c r="L88" s="69">
        <v>13</v>
      </c>
      <c r="M88" s="37">
        <f>IF(ISBLANK(K88),,((K88-L88*2)+1000)/9)</f>
        <v>150.22222222222223</v>
      </c>
    </row>
    <row r="89" spans="1:17" s="35" customFormat="1" ht="81" customHeight="1" thickBot="1">
      <c r="A89" s="34">
        <v>73</v>
      </c>
      <c r="B89" s="60">
        <v>43123</v>
      </c>
      <c r="C89" s="90">
        <v>43123</v>
      </c>
      <c r="D89" s="61">
        <v>144</v>
      </c>
      <c r="E89" s="62" t="s">
        <v>14</v>
      </c>
      <c r="F89" s="63" t="s">
        <v>235</v>
      </c>
      <c r="G89" s="62" t="s">
        <v>27</v>
      </c>
      <c r="H89" s="62" t="s">
        <v>236</v>
      </c>
      <c r="I89" s="64" t="s">
        <v>238</v>
      </c>
      <c r="J89" s="75" t="s">
        <v>315</v>
      </c>
      <c r="K89" s="69">
        <v>143</v>
      </c>
      <c r="L89" s="69">
        <v>12</v>
      </c>
      <c r="M89" s="37">
        <f>IF(ISBLANK(K89),,((K89-L89*2)+1000)/9)</f>
        <v>124.33333333333333</v>
      </c>
    </row>
    <row r="90" spans="1:17" s="35" customFormat="1" ht="81" customHeight="1" thickBot="1">
      <c r="A90" s="34">
        <v>75</v>
      </c>
      <c r="B90" s="60">
        <v>43123</v>
      </c>
      <c r="C90" s="90">
        <v>43123</v>
      </c>
      <c r="D90" s="61">
        <v>145</v>
      </c>
      <c r="E90" s="62" t="s">
        <v>187</v>
      </c>
      <c r="F90" s="63" t="s">
        <v>239</v>
      </c>
      <c r="G90" s="62" t="s">
        <v>27</v>
      </c>
      <c r="H90" s="62" t="s">
        <v>236</v>
      </c>
      <c r="I90" s="64" t="s">
        <v>238</v>
      </c>
      <c r="J90" s="62" t="s">
        <v>240</v>
      </c>
      <c r="K90" s="69">
        <v>231</v>
      </c>
      <c r="L90" s="69">
        <v>18</v>
      </c>
      <c r="M90" s="37">
        <f>IF(ISBLANK(K90),,((K90-L90*2)+1000)/9)</f>
        <v>132.77777777777777</v>
      </c>
    </row>
    <row r="91" spans="1:17" s="35" customFormat="1" ht="81" customHeight="1" thickBot="1">
      <c r="A91" s="34">
        <v>50</v>
      </c>
      <c r="B91" s="67">
        <v>43083</v>
      </c>
      <c r="C91" s="92">
        <v>43124</v>
      </c>
      <c r="D91" s="73">
        <v>100</v>
      </c>
      <c r="E91" s="68" t="s">
        <v>171</v>
      </c>
      <c r="F91" s="63" t="s">
        <v>169</v>
      </c>
      <c r="G91" s="68" t="s">
        <v>280</v>
      </c>
      <c r="H91" s="68" t="s">
        <v>281</v>
      </c>
      <c r="I91" s="63" t="s">
        <v>197</v>
      </c>
      <c r="J91" s="68" t="s">
        <v>198</v>
      </c>
      <c r="K91" s="74">
        <v>264</v>
      </c>
      <c r="L91" s="74">
        <v>8</v>
      </c>
      <c r="M91" s="51">
        <f>IF(ISBLANK(K91),,((K91-L91*2)+1000)/9)</f>
        <v>138.66666666666666</v>
      </c>
    </row>
    <row r="92" spans="1:17" s="35" customFormat="1" ht="48" customHeight="1" thickBot="1">
      <c r="A92" s="34">
        <v>51</v>
      </c>
      <c r="B92" s="66">
        <v>43083</v>
      </c>
      <c r="C92" s="92">
        <v>43134</v>
      </c>
      <c r="D92" s="61">
        <v>101</v>
      </c>
      <c r="E92" s="62" t="s">
        <v>171</v>
      </c>
      <c r="F92" s="63" t="s">
        <v>170</v>
      </c>
      <c r="G92" s="68" t="s">
        <v>27</v>
      </c>
      <c r="H92" s="68" t="s">
        <v>84</v>
      </c>
      <c r="I92" s="64" t="s">
        <v>199</v>
      </c>
      <c r="J92" s="62" t="s">
        <v>200</v>
      </c>
      <c r="K92" s="69">
        <v>553</v>
      </c>
      <c r="L92" s="69">
        <v>8</v>
      </c>
      <c r="M92" s="37">
        <f>IF(ISBLANK(K92),,((K92-L92*2)+1000)/9)</f>
        <v>170.77777777777777</v>
      </c>
    </row>
    <row r="93" spans="1:17" s="35" customFormat="1" ht="48" customHeight="1" thickBot="1">
      <c r="A93" s="34">
        <v>32</v>
      </c>
      <c r="B93" s="66">
        <v>43051</v>
      </c>
      <c r="C93" s="89">
        <v>43051</v>
      </c>
      <c r="D93" s="61">
        <v>104</v>
      </c>
      <c r="E93" s="62" t="s">
        <v>32</v>
      </c>
      <c r="F93" s="63" t="s">
        <v>83</v>
      </c>
      <c r="G93" s="62" t="s">
        <v>27</v>
      </c>
      <c r="H93" s="62" t="s">
        <v>84</v>
      </c>
      <c r="I93" s="64" t="s">
        <v>195</v>
      </c>
      <c r="J93" s="62" t="s">
        <v>85</v>
      </c>
      <c r="K93" s="69">
        <v>258</v>
      </c>
      <c r="L93" s="69">
        <v>14</v>
      </c>
      <c r="M93" s="37">
        <f>IF(ISBLANK(K93),,((K93-L93*2)+1000)/9)</f>
        <v>136.66666666666666</v>
      </c>
    </row>
    <row r="94" spans="1:17" s="35" customFormat="1" ht="137" customHeight="1" thickBot="1">
      <c r="A94" s="34">
        <v>52</v>
      </c>
      <c r="B94" s="66">
        <v>43083</v>
      </c>
      <c r="C94" s="92">
        <v>43083</v>
      </c>
      <c r="D94" s="61">
        <v>111</v>
      </c>
      <c r="E94" s="62" t="s">
        <v>171</v>
      </c>
      <c r="F94" s="63" t="s">
        <v>172</v>
      </c>
      <c r="G94" s="68" t="s">
        <v>280</v>
      </c>
      <c r="H94" s="68" t="s">
        <v>291</v>
      </c>
      <c r="I94" s="64" t="s">
        <v>201</v>
      </c>
      <c r="J94" s="62" t="s">
        <v>202</v>
      </c>
      <c r="K94" s="69">
        <v>170</v>
      </c>
      <c r="L94" s="69">
        <v>74</v>
      </c>
      <c r="M94" s="37">
        <f>IF(ISBLANK(K94),,((K94-L94*2)+1000)/9)</f>
        <v>113.55555555555556</v>
      </c>
    </row>
    <row r="95" spans="1:17" s="35" customFormat="1" ht="48" customHeight="1" thickBot="1">
      <c r="A95" s="34">
        <v>53</v>
      </c>
      <c r="B95" s="66">
        <v>43083</v>
      </c>
      <c r="C95" s="92">
        <v>43083</v>
      </c>
      <c r="D95" s="61">
        <v>112</v>
      </c>
      <c r="E95" s="62" t="s">
        <v>175</v>
      </c>
      <c r="F95" s="63" t="s">
        <v>173</v>
      </c>
      <c r="G95" s="68" t="s">
        <v>280</v>
      </c>
      <c r="H95" s="68" t="s">
        <v>292</v>
      </c>
      <c r="I95" s="64" t="s">
        <v>203</v>
      </c>
      <c r="J95" s="62" t="s">
        <v>204</v>
      </c>
      <c r="K95" s="69">
        <v>210</v>
      </c>
      <c r="L95" s="69">
        <v>69</v>
      </c>
      <c r="M95" s="37">
        <f>IF(ISBLANK(K95),,((K95-L95*2)+1000)/9)</f>
        <v>119.11111111111111</v>
      </c>
    </row>
    <row r="96" spans="1:17" s="35" customFormat="1" ht="82" customHeight="1" thickBot="1">
      <c r="A96" s="34">
        <v>54</v>
      </c>
      <c r="B96" s="66">
        <v>43083</v>
      </c>
      <c r="C96" s="92">
        <v>43083</v>
      </c>
      <c r="D96" s="61">
        <v>113</v>
      </c>
      <c r="E96" s="62" t="s">
        <v>176</v>
      </c>
      <c r="F96" s="63" t="s">
        <v>174</v>
      </c>
      <c r="G96" s="68" t="s">
        <v>293</v>
      </c>
      <c r="H96" s="68" t="s">
        <v>294</v>
      </c>
      <c r="I96" s="64" t="s">
        <v>205</v>
      </c>
      <c r="J96" s="62" t="s">
        <v>206</v>
      </c>
      <c r="K96" s="69">
        <v>197</v>
      </c>
      <c r="L96" s="69">
        <v>7</v>
      </c>
      <c r="M96" s="37">
        <f>IF(ISBLANK(K96),,((K96-L96*2)+1000)/9)</f>
        <v>131.44444444444446</v>
      </c>
    </row>
    <row r="97" spans="1:13" s="35" customFormat="1" ht="48" customHeight="1" thickBot="1">
      <c r="A97" s="34">
        <v>55</v>
      </c>
      <c r="B97" s="66">
        <v>43083</v>
      </c>
      <c r="C97" s="92">
        <v>43134</v>
      </c>
      <c r="D97" s="61">
        <v>226</v>
      </c>
      <c r="E97" s="62" t="s">
        <v>171</v>
      </c>
      <c r="F97" s="63" t="s">
        <v>177</v>
      </c>
      <c r="G97" s="68" t="s">
        <v>280</v>
      </c>
      <c r="H97" s="68" t="s">
        <v>281</v>
      </c>
      <c r="I97" s="64" t="s">
        <v>207</v>
      </c>
      <c r="J97" s="62" t="s">
        <v>208</v>
      </c>
      <c r="K97" s="69">
        <v>353</v>
      </c>
      <c r="L97" s="69">
        <v>8</v>
      </c>
      <c r="M97" s="37">
        <f>IF(ISBLANK(K97),,((K97-L97*2)+1000)/9)</f>
        <v>148.55555555555554</v>
      </c>
    </row>
    <row r="98" spans="1:13" s="35" customFormat="1" ht="48" customHeight="1" thickBot="1">
      <c r="A98" s="34">
        <v>85</v>
      </c>
      <c r="B98" s="60">
        <v>43136</v>
      </c>
      <c r="C98" s="90">
        <v>43136</v>
      </c>
      <c r="D98" s="61">
        <v>236</v>
      </c>
      <c r="E98" s="62" t="s">
        <v>14</v>
      </c>
      <c r="F98" s="63" t="s">
        <v>277</v>
      </c>
      <c r="G98" s="62" t="s">
        <v>27</v>
      </c>
      <c r="H98" s="62" t="s">
        <v>84</v>
      </c>
      <c r="I98" s="64" t="s">
        <v>278</v>
      </c>
      <c r="J98" s="62" t="s">
        <v>279</v>
      </c>
      <c r="K98" s="65">
        <v>526</v>
      </c>
      <c r="L98" s="65">
        <v>59</v>
      </c>
      <c r="M98" s="49">
        <f>IF(ISBLANK(K98),,((K98-L98*2)+1000)/9)</f>
        <v>156.44444444444446</v>
      </c>
    </row>
    <row r="99" spans="1:13" s="35" customFormat="1" ht="48" customHeight="1" thickBot="1">
      <c r="A99" s="34">
        <v>88</v>
      </c>
      <c r="B99" s="60">
        <v>43137</v>
      </c>
      <c r="C99" s="90">
        <v>43137</v>
      </c>
      <c r="D99" s="61">
        <v>572</v>
      </c>
      <c r="E99" s="62" t="s">
        <v>32</v>
      </c>
      <c r="F99" s="63" t="s">
        <v>322</v>
      </c>
      <c r="G99" s="62" t="s">
        <v>27</v>
      </c>
      <c r="H99" s="62" t="s">
        <v>84</v>
      </c>
      <c r="I99" s="64" t="s">
        <v>323</v>
      </c>
      <c r="J99" s="62" t="s">
        <v>324</v>
      </c>
      <c r="K99" s="65">
        <v>503</v>
      </c>
      <c r="L99" s="65">
        <v>12</v>
      </c>
      <c r="M99" s="49">
        <f>IF(ISBLANK(K99),,((K99-L99*2)+1000)/9)</f>
        <v>164.33333333333334</v>
      </c>
    </row>
    <row r="100" spans="1:13" s="35" customFormat="1" ht="81" customHeight="1" thickBot="1">
      <c r="A100" s="34">
        <v>97</v>
      </c>
      <c r="B100" s="62"/>
      <c r="C100" s="91"/>
      <c r="D100" s="61"/>
      <c r="E100" s="62"/>
      <c r="F100" s="63"/>
      <c r="G100" s="62"/>
      <c r="H100" s="62"/>
      <c r="I100" s="64"/>
      <c r="J100" s="62"/>
      <c r="K100" s="65"/>
      <c r="L100" s="65"/>
      <c r="M100" s="49"/>
    </row>
    <row r="101" spans="1:13" s="35" customFormat="1" ht="81" customHeight="1" thickBot="1">
      <c r="A101" s="34">
        <v>98</v>
      </c>
      <c r="B101" s="62"/>
      <c r="C101" s="91"/>
      <c r="D101" s="61"/>
      <c r="E101" s="62"/>
      <c r="F101" s="63"/>
      <c r="G101" s="62"/>
      <c r="H101" s="62"/>
      <c r="I101" s="64"/>
      <c r="J101" s="62"/>
      <c r="K101" s="65"/>
      <c r="L101" s="65"/>
      <c r="M101" s="49"/>
    </row>
    <row r="102" spans="1:13" s="35" customFormat="1" ht="81" customHeight="1" thickBot="1">
      <c r="A102" s="34">
        <v>99</v>
      </c>
      <c r="B102" s="62"/>
      <c r="C102" s="91"/>
      <c r="D102" s="61"/>
      <c r="E102" s="62"/>
      <c r="F102" s="63"/>
      <c r="G102" s="62"/>
      <c r="H102" s="62"/>
      <c r="I102" s="64"/>
      <c r="J102" s="62"/>
      <c r="K102" s="65"/>
      <c r="L102" s="65"/>
      <c r="M102" s="49"/>
    </row>
    <row r="103" spans="1:13" s="35" customFormat="1" ht="81" customHeight="1" thickBot="1">
      <c r="A103" s="34">
        <v>100</v>
      </c>
      <c r="B103" s="62"/>
      <c r="C103" s="91"/>
      <c r="D103" s="61"/>
      <c r="E103" s="62"/>
      <c r="F103" s="63"/>
      <c r="G103" s="62"/>
      <c r="H103" s="62"/>
      <c r="I103" s="64"/>
      <c r="J103" s="62"/>
      <c r="K103" s="65"/>
      <c r="L103" s="65"/>
      <c r="M103" s="49"/>
    </row>
    <row r="104" spans="1:13" s="35" customFormat="1" ht="81" customHeight="1" thickBot="1">
      <c r="A104" s="34">
        <v>101</v>
      </c>
      <c r="B104" s="62"/>
      <c r="C104" s="91"/>
      <c r="D104" s="61"/>
      <c r="E104" s="62"/>
      <c r="F104" s="63"/>
      <c r="G104" s="62"/>
      <c r="H104" s="62"/>
      <c r="I104" s="64"/>
      <c r="J104" s="62"/>
      <c r="K104" s="65"/>
      <c r="L104" s="65"/>
      <c r="M104" s="49"/>
    </row>
    <row r="105" spans="1:13" s="35" customFormat="1" ht="81" customHeight="1" thickBot="1">
      <c r="A105" s="34">
        <v>102</v>
      </c>
      <c r="B105" s="62"/>
      <c r="C105" s="91"/>
      <c r="D105" s="61"/>
      <c r="E105" s="62"/>
      <c r="F105" s="63"/>
      <c r="G105" s="62"/>
      <c r="H105" s="62"/>
      <c r="I105" s="64"/>
      <c r="J105" s="62"/>
      <c r="K105" s="65"/>
      <c r="L105" s="65"/>
      <c r="M105" s="49"/>
    </row>
    <row r="106" spans="1:13" s="35" customFormat="1" ht="81" customHeight="1" thickBot="1">
      <c r="A106" s="34">
        <v>103</v>
      </c>
      <c r="B106" s="62"/>
      <c r="C106" s="91"/>
      <c r="D106" s="61"/>
      <c r="E106" s="62"/>
      <c r="F106" s="63"/>
      <c r="G106" s="62"/>
      <c r="H106" s="62"/>
      <c r="I106" s="64"/>
      <c r="J106" s="62"/>
      <c r="K106" s="65"/>
      <c r="L106" s="65"/>
      <c r="M106" s="49"/>
    </row>
    <row r="107" spans="1:13" s="35" customFormat="1" ht="81" customHeight="1" thickBot="1">
      <c r="A107" s="34">
        <v>104</v>
      </c>
      <c r="B107" s="62"/>
      <c r="C107" s="91"/>
      <c r="D107" s="61"/>
      <c r="E107" s="62"/>
      <c r="F107" s="63"/>
      <c r="G107" s="62"/>
      <c r="H107" s="62"/>
      <c r="I107" s="64"/>
      <c r="J107" s="62"/>
      <c r="K107" s="65"/>
      <c r="L107" s="65"/>
      <c r="M107" s="49"/>
    </row>
    <row r="108" spans="1:13" s="35" customFormat="1" ht="81" customHeight="1" thickBot="1">
      <c r="A108" s="34">
        <v>105</v>
      </c>
      <c r="B108" s="62"/>
      <c r="C108" s="91"/>
      <c r="D108" s="61"/>
      <c r="E108" s="62"/>
      <c r="F108" s="63"/>
      <c r="G108" s="62"/>
      <c r="H108" s="62"/>
      <c r="I108" s="64"/>
      <c r="J108" s="62"/>
      <c r="K108" s="65"/>
      <c r="L108" s="65"/>
      <c r="M108" s="49"/>
    </row>
    <row r="109" spans="1:13" s="35" customFormat="1" ht="81" customHeight="1" thickBot="1">
      <c r="A109" s="34">
        <v>106</v>
      </c>
      <c r="B109" s="62"/>
      <c r="C109" s="91"/>
      <c r="D109" s="61"/>
      <c r="E109" s="62"/>
      <c r="F109" s="63"/>
      <c r="G109" s="62"/>
      <c r="H109" s="62"/>
      <c r="I109" s="64"/>
      <c r="J109" s="62"/>
      <c r="K109" s="65"/>
      <c r="L109" s="65"/>
      <c r="M109" s="49"/>
    </row>
    <row r="110" spans="1:13" s="35" customFormat="1" ht="81" customHeight="1" thickBot="1">
      <c r="A110" s="34">
        <v>107</v>
      </c>
      <c r="B110" s="62"/>
      <c r="C110" s="91"/>
      <c r="D110" s="61"/>
      <c r="E110" s="62"/>
      <c r="F110" s="63"/>
      <c r="G110" s="62"/>
      <c r="H110" s="62"/>
      <c r="I110" s="64"/>
      <c r="J110" s="62"/>
      <c r="K110" s="65"/>
      <c r="L110" s="65"/>
      <c r="M110" s="49"/>
    </row>
    <row r="111" spans="1:13" s="35" customFormat="1" ht="81" customHeight="1" thickBot="1">
      <c r="A111" s="34">
        <v>108</v>
      </c>
      <c r="B111" s="62"/>
      <c r="C111" s="91"/>
      <c r="D111" s="61"/>
      <c r="E111" s="62"/>
      <c r="F111" s="63"/>
      <c r="G111" s="62"/>
      <c r="H111" s="62"/>
      <c r="I111" s="64"/>
      <c r="J111" s="62"/>
      <c r="K111" s="65"/>
      <c r="L111" s="65"/>
      <c r="M111" s="49"/>
    </row>
    <row r="112" spans="1:13" s="56" customFormat="1" ht="81" customHeight="1">
      <c r="A112" s="10">
        <v>109</v>
      </c>
      <c r="B112" s="76"/>
      <c r="C112" s="93"/>
      <c r="D112" s="77"/>
      <c r="E112" s="76"/>
      <c r="F112" s="78"/>
      <c r="G112" s="76"/>
      <c r="H112" s="76"/>
      <c r="I112" s="79"/>
      <c r="J112" s="76"/>
      <c r="K112" s="80"/>
      <c r="L112" s="80"/>
      <c r="M112" s="55"/>
    </row>
    <row r="113" spans="1:13" s="56" customFormat="1" ht="81" customHeight="1">
      <c r="A113" s="10">
        <v>110</v>
      </c>
      <c r="B113" s="76"/>
      <c r="C113" s="93"/>
      <c r="D113" s="77"/>
      <c r="E113" s="76"/>
      <c r="F113" s="78"/>
      <c r="G113" s="76"/>
      <c r="H113" s="76"/>
      <c r="I113" s="79"/>
      <c r="J113" s="76"/>
      <c r="K113" s="80"/>
      <c r="L113" s="80"/>
      <c r="M113" s="55"/>
    </row>
    <row r="114" spans="1:13" s="56" customFormat="1" ht="81" customHeight="1">
      <c r="A114" s="10">
        <v>111</v>
      </c>
      <c r="B114" s="76"/>
      <c r="C114" s="93"/>
      <c r="D114" s="77"/>
      <c r="E114" s="76"/>
      <c r="F114" s="78"/>
      <c r="G114" s="76"/>
      <c r="H114" s="76"/>
      <c r="I114" s="79"/>
      <c r="J114" s="76"/>
      <c r="K114" s="80"/>
      <c r="L114" s="80"/>
      <c r="M114" s="55"/>
    </row>
    <row r="115" spans="1:13" s="56" customFormat="1" ht="81" customHeight="1">
      <c r="A115" s="10">
        <v>112</v>
      </c>
      <c r="B115" s="76"/>
      <c r="C115" s="93"/>
      <c r="D115" s="77"/>
      <c r="E115" s="76"/>
      <c r="F115" s="78"/>
      <c r="G115" s="76"/>
      <c r="H115" s="76"/>
      <c r="I115" s="79"/>
      <c r="J115" s="76"/>
      <c r="K115" s="80"/>
      <c r="L115" s="80"/>
      <c r="M115" s="55"/>
    </row>
    <row r="116" spans="1:13" s="56" customFormat="1" ht="81" customHeight="1">
      <c r="A116" s="10">
        <v>113</v>
      </c>
      <c r="B116" s="76"/>
      <c r="C116" s="93"/>
      <c r="D116" s="77"/>
      <c r="E116" s="76"/>
      <c r="F116" s="78"/>
      <c r="G116" s="76"/>
      <c r="H116" s="76"/>
      <c r="I116" s="79"/>
      <c r="J116" s="76"/>
      <c r="K116" s="80"/>
      <c r="L116" s="80"/>
      <c r="M116" s="55"/>
    </row>
    <row r="117" spans="1:13" s="56" customFormat="1" ht="81" customHeight="1">
      <c r="A117" s="10">
        <v>114</v>
      </c>
      <c r="B117" s="76"/>
      <c r="C117" s="93"/>
      <c r="D117" s="77"/>
      <c r="E117" s="76"/>
      <c r="F117" s="78"/>
      <c r="G117" s="76"/>
      <c r="H117" s="76"/>
      <c r="I117" s="79"/>
      <c r="J117" s="76"/>
      <c r="K117" s="80"/>
      <c r="L117" s="80"/>
      <c r="M117" s="55"/>
    </row>
    <row r="118" spans="1:13" s="56" customFormat="1" ht="81" customHeight="1">
      <c r="A118" s="10">
        <v>114</v>
      </c>
      <c r="B118" s="76"/>
      <c r="C118" s="93"/>
      <c r="D118" s="77"/>
      <c r="E118" s="76"/>
      <c r="F118" s="78"/>
      <c r="G118" s="76"/>
      <c r="H118" s="76"/>
      <c r="I118" s="79"/>
      <c r="J118" s="76"/>
      <c r="K118" s="80"/>
      <c r="L118" s="80"/>
      <c r="M118" s="55"/>
    </row>
    <row r="119" spans="1:13" s="56" customFormat="1" ht="81" customHeight="1">
      <c r="A119" s="10">
        <v>115</v>
      </c>
      <c r="B119" s="76"/>
      <c r="C119" s="93"/>
      <c r="D119" s="77"/>
      <c r="E119" s="76"/>
      <c r="F119" s="78"/>
      <c r="G119" s="76"/>
      <c r="H119" s="76"/>
      <c r="I119" s="79"/>
      <c r="J119" s="76"/>
      <c r="K119" s="80"/>
      <c r="L119" s="80"/>
      <c r="M119" s="55"/>
    </row>
    <row r="120" spans="1:13" s="56" customFormat="1" ht="81" customHeight="1">
      <c r="A120" s="10">
        <v>116</v>
      </c>
      <c r="B120" s="76"/>
      <c r="C120" s="93"/>
      <c r="D120" s="77"/>
      <c r="E120" s="76"/>
      <c r="F120" s="78"/>
      <c r="G120" s="76"/>
      <c r="H120" s="76"/>
      <c r="I120" s="79"/>
      <c r="J120" s="76"/>
      <c r="K120" s="80"/>
      <c r="L120" s="80"/>
      <c r="M120" s="55"/>
    </row>
    <row r="121" spans="1:13" s="56" customFormat="1" ht="81" customHeight="1">
      <c r="A121" s="10">
        <v>117</v>
      </c>
      <c r="B121" s="76"/>
      <c r="C121" s="93"/>
      <c r="D121" s="77"/>
      <c r="E121" s="76"/>
      <c r="F121" s="78"/>
      <c r="G121" s="76"/>
      <c r="H121" s="76"/>
      <c r="I121" s="79"/>
      <c r="J121" s="76"/>
      <c r="K121" s="80"/>
      <c r="L121" s="80"/>
      <c r="M121" s="55"/>
    </row>
    <row r="122" spans="1:13" s="56" customFormat="1" ht="81" customHeight="1">
      <c r="A122" s="10">
        <v>118</v>
      </c>
      <c r="B122" s="76"/>
      <c r="C122" s="93"/>
      <c r="D122" s="77"/>
      <c r="E122" s="76"/>
      <c r="F122" s="78"/>
      <c r="G122" s="76"/>
      <c r="H122" s="76"/>
      <c r="I122" s="79"/>
      <c r="J122" s="76"/>
      <c r="K122" s="80"/>
      <c r="L122" s="80"/>
      <c r="M122" s="55"/>
    </row>
    <row r="123" spans="1:13" s="56" customFormat="1" ht="81" customHeight="1">
      <c r="A123" s="10">
        <v>119</v>
      </c>
      <c r="B123" s="76"/>
      <c r="C123" s="93"/>
      <c r="D123" s="77"/>
      <c r="E123" s="76"/>
      <c r="F123" s="78"/>
      <c r="G123" s="76"/>
      <c r="H123" s="76"/>
      <c r="I123" s="79"/>
      <c r="J123" s="76"/>
      <c r="K123" s="80"/>
      <c r="L123" s="80"/>
      <c r="M123" s="55"/>
    </row>
    <row r="124" spans="1:13" s="56" customFormat="1" ht="81" customHeight="1">
      <c r="A124" s="10">
        <v>120</v>
      </c>
      <c r="B124" s="76"/>
      <c r="C124" s="93"/>
      <c r="D124" s="77"/>
      <c r="E124" s="76"/>
      <c r="F124" s="78"/>
      <c r="G124" s="76"/>
      <c r="H124" s="76"/>
      <c r="I124" s="79"/>
      <c r="J124" s="76"/>
      <c r="K124" s="80"/>
      <c r="L124" s="80"/>
      <c r="M124" s="55"/>
    </row>
    <row r="125" spans="1:13" s="56" customFormat="1" ht="81" customHeight="1">
      <c r="A125" s="10">
        <v>121</v>
      </c>
      <c r="B125" s="76"/>
      <c r="C125" s="93"/>
      <c r="D125" s="77"/>
      <c r="E125" s="76"/>
      <c r="F125" s="78"/>
      <c r="G125" s="76"/>
      <c r="H125" s="76"/>
      <c r="I125" s="79"/>
      <c r="J125" s="76"/>
      <c r="K125" s="80"/>
      <c r="L125" s="80"/>
      <c r="M125" s="55"/>
    </row>
    <row r="126" spans="1:13" s="56" customFormat="1" ht="81" customHeight="1">
      <c r="A126" s="10">
        <v>122</v>
      </c>
      <c r="B126" s="76"/>
      <c r="C126" s="93"/>
      <c r="D126" s="77"/>
      <c r="E126" s="76"/>
      <c r="F126" s="78"/>
      <c r="G126" s="76"/>
      <c r="H126" s="76"/>
      <c r="I126" s="79"/>
      <c r="J126" s="76"/>
      <c r="K126" s="80"/>
      <c r="L126" s="80"/>
      <c r="M126" s="55"/>
    </row>
    <row r="127" spans="1:13" s="56" customFormat="1" ht="81" customHeight="1">
      <c r="A127" s="10">
        <v>123</v>
      </c>
      <c r="B127" s="76"/>
      <c r="C127" s="93"/>
      <c r="D127" s="77"/>
      <c r="E127" s="76"/>
      <c r="F127" s="78"/>
      <c r="G127" s="76"/>
      <c r="H127" s="76"/>
      <c r="I127" s="79"/>
      <c r="J127" s="76"/>
      <c r="K127" s="80"/>
      <c r="L127" s="80"/>
      <c r="M127" s="55"/>
    </row>
    <row r="128" spans="1:13" s="56" customFormat="1" ht="81" customHeight="1">
      <c r="A128" s="10">
        <v>124</v>
      </c>
      <c r="B128" s="76"/>
      <c r="C128" s="93"/>
      <c r="D128" s="77"/>
      <c r="E128" s="76"/>
      <c r="F128" s="78"/>
      <c r="G128" s="76"/>
      <c r="H128" s="76"/>
      <c r="I128" s="79"/>
      <c r="J128" s="76"/>
      <c r="K128" s="80"/>
      <c r="L128" s="80"/>
      <c r="M128" s="55"/>
    </row>
    <row r="129" spans="1:13" s="56" customFormat="1" ht="81" customHeight="1">
      <c r="A129" s="10">
        <v>125</v>
      </c>
      <c r="B129" s="76"/>
      <c r="C129" s="93"/>
      <c r="D129" s="77"/>
      <c r="E129" s="76"/>
      <c r="F129" s="78"/>
      <c r="G129" s="76"/>
      <c r="H129" s="76"/>
      <c r="I129" s="79"/>
      <c r="J129" s="76"/>
      <c r="K129" s="80"/>
      <c r="L129" s="80"/>
      <c r="M129" s="55"/>
    </row>
    <row r="130" spans="1:13" s="56" customFormat="1" ht="81" customHeight="1">
      <c r="A130" s="10">
        <v>126</v>
      </c>
      <c r="B130" s="76"/>
      <c r="C130" s="93"/>
      <c r="D130" s="77"/>
      <c r="E130" s="76"/>
      <c r="F130" s="78"/>
      <c r="G130" s="76"/>
      <c r="H130" s="76"/>
      <c r="I130" s="79"/>
      <c r="J130" s="76"/>
      <c r="K130" s="80"/>
      <c r="L130" s="80"/>
      <c r="M130" s="55"/>
    </row>
    <row r="131" spans="1:13" s="56" customFormat="1" ht="81" customHeight="1">
      <c r="A131" s="10">
        <v>127</v>
      </c>
      <c r="B131" s="76"/>
      <c r="C131" s="93"/>
      <c r="D131" s="77"/>
      <c r="E131" s="76"/>
      <c r="F131" s="78"/>
      <c r="G131" s="76"/>
      <c r="H131" s="76"/>
      <c r="I131" s="79"/>
      <c r="J131" s="76"/>
      <c r="K131" s="80"/>
      <c r="L131" s="80"/>
      <c r="M131" s="55"/>
    </row>
    <row r="132" spans="1:13" s="56" customFormat="1" ht="81" customHeight="1">
      <c r="A132" s="10">
        <v>128</v>
      </c>
      <c r="B132" s="76"/>
      <c r="C132" s="93"/>
      <c r="D132" s="77"/>
      <c r="E132" s="76"/>
      <c r="F132" s="78"/>
      <c r="G132" s="76"/>
      <c r="H132" s="76"/>
      <c r="I132" s="79"/>
      <c r="J132" s="76"/>
      <c r="K132" s="80"/>
      <c r="L132" s="80"/>
      <c r="M132" s="55"/>
    </row>
    <row r="133" spans="1:13" s="56" customFormat="1" ht="81" customHeight="1">
      <c r="A133" s="10">
        <v>129</v>
      </c>
      <c r="B133" s="76"/>
      <c r="C133" s="93"/>
      <c r="D133" s="77"/>
      <c r="E133" s="76"/>
      <c r="F133" s="78"/>
      <c r="G133" s="76"/>
      <c r="H133" s="76"/>
      <c r="I133" s="79"/>
      <c r="J133" s="76"/>
      <c r="K133" s="80"/>
      <c r="L133" s="80"/>
      <c r="M133" s="55"/>
    </row>
    <row r="134" spans="1:13" s="56" customFormat="1" ht="81" customHeight="1">
      <c r="A134" s="10">
        <v>130</v>
      </c>
      <c r="B134" s="76"/>
      <c r="C134" s="93"/>
      <c r="D134" s="77"/>
      <c r="E134" s="76"/>
      <c r="F134" s="78"/>
      <c r="G134" s="76"/>
      <c r="H134" s="76"/>
      <c r="I134" s="79"/>
      <c r="J134" s="76"/>
      <c r="K134" s="80"/>
      <c r="L134" s="80"/>
      <c r="M134" s="55"/>
    </row>
    <row r="135" spans="1:13" s="56" customFormat="1" ht="81" customHeight="1">
      <c r="A135" s="10">
        <v>131</v>
      </c>
      <c r="B135" s="76"/>
      <c r="C135" s="93"/>
      <c r="D135" s="77"/>
      <c r="E135" s="76"/>
      <c r="F135" s="78"/>
      <c r="G135" s="76"/>
      <c r="H135" s="76"/>
      <c r="I135" s="79"/>
      <c r="J135" s="76"/>
      <c r="K135" s="80"/>
      <c r="L135" s="80"/>
      <c r="M135" s="55"/>
    </row>
    <row r="136" spans="1:13" s="56" customFormat="1" ht="81" customHeight="1">
      <c r="A136" s="10">
        <v>132</v>
      </c>
      <c r="B136" s="76"/>
      <c r="C136" s="93"/>
      <c r="D136" s="77"/>
      <c r="E136" s="76"/>
      <c r="F136" s="78"/>
      <c r="G136" s="76"/>
      <c r="H136" s="76"/>
      <c r="I136" s="79"/>
      <c r="J136" s="76"/>
      <c r="K136" s="80"/>
      <c r="L136" s="80"/>
      <c r="M136" s="55"/>
    </row>
    <row r="137" spans="1:13" s="56" customFormat="1" ht="81" customHeight="1">
      <c r="A137" s="10">
        <v>133</v>
      </c>
      <c r="B137" s="76"/>
      <c r="C137" s="93"/>
      <c r="D137" s="77"/>
      <c r="E137" s="76"/>
      <c r="F137" s="78"/>
      <c r="G137" s="76"/>
      <c r="H137" s="76"/>
      <c r="I137" s="79"/>
      <c r="J137" s="76"/>
      <c r="K137" s="80"/>
      <c r="L137" s="80"/>
      <c r="M137" s="55"/>
    </row>
    <row r="138" spans="1:13" s="56" customFormat="1" ht="81" customHeight="1">
      <c r="A138" s="10">
        <v>134</v>
      </c>
      <c r="B138" s="76"/>
      <c r="C138" s="93"/>
      <c r="D138" s="77"/>
      <c r="E138" s="76"/>
      <c r="F138" s="78"/>
      <c r="G138" s="76"/>
      <c r="H138" s="76"/>
      <c r="I138" s="79"/>
      <c r="J138" s="76"/>
      <c r="K138" s="80"/>
      <c r="L138" s="80"/>
      <c r="M138" s="55"/>
    </row>
    <row r="139" spans="1:13" ht="81" customHeight="1">
      <c r="A139" s="10">
        <v>135</v>
      </c>
      <c r="B139" s="81"/>
      <c r="D139" s="82"/>
      <c r="E139" s="81"/>
      <c r="F139" s="78"/>
      <c r="G139" s="81"/>
      <c r="H139" s="81"/>
      <c r="I139" s="79"/>
      <c r="J139" s="76"/>
      <c r="K139" s="83"/>
      <c r="L139" s="83"/>
      <c r="M139" s="16"/>
    </row>
    <row r="140" spans="1:13" ht="81" customHeight="1">
      <c r="A140" s="10">
        <v>136</v>
      </c>
      <c r="B140" s="81"/>
      <c r="D140" s="82"/>
      <c r="E140" s="81"/>
      <c r="F140" s="78"/>
      <c r="G140" s="81"/>
      <c r="H140" s="81"/>
      <c r="I140" s="79"/>
      <c r="J140" s="76"/>
      <c r="K140" s="83"/>
      <c r="L140" s="83"/>
      <c r="M140" s="16"/>
    </row>
    <row r="141" spans="1:13" ht="81" customHeight="1">
      <c r="A141" s="10">
        <v>137</v>
      </c>
      <c r="B141" s="81"/>
      <c r="D141" s="82"/>
      <c r="E141" s="81"/>
      <c r="F141" s="78"/>
      <c r="G141" s="81"/>
      <c r="H141" s="81"/>
      <c r="I141" s="79"/>
      <c r="J141" s="76"/>
      <c r="K141" s="83"/>
      <c r="L141" s="83"/>
      <c r="M141" s="16"/>
    </row>
    <row r="142" spans="1:13" ht="81" customHeight="1">
      <c r="A142" s="10">
        <v>138</v>
      </c>
      <c r="B142" s="81"/>
      <c r="D142" s="82"/>
      <c r="E142" s="81"/>
      <c r="F142" s="78"/>
      <c r="G142" s="81"/>
      <c r="H142" s="81"/>
      <c r="I142" s="79"/>
      <c r="J142" s="76"/>
      <c r="K142" s="83"/>
      <c r="L142" s="83"/>
      <c r="M142" s="16"/>
    </row>
    <row r="143" spans="1:13" ht="81" customHeight="1">
      <c r="A143" s="10">
        <v>139</v>
      </c>
      <c r="B143" s="81"/>
      <c r="D143" s="82"/>
      <c r="E143" s="81"/>
      <c r="F143" s="78"/>
      <c r="G143" s="81"/>
      <c r="H143" s="81"/>
      <c r="I143" s="79"/>
      <c r="J143" s="76"/>
      <c r="K143" s="83"/>
      <c r="L143" s="83"/>
      <c r="M143" s="16"/>
    </row>
    <row r="144" spans="1:13" ht="81" customHeight="1">
      <c r="A144" s="10">
        <v>140</v>
      </c>
      <c r="B144" s="81"/>
      <c r="D144" s="82"/>
      <c r="E144" s="81"/>
      <c r="F144" s="78"/>
      <c r="G144" s="81"/>
      <c r="H144" s="81"/>
      <c r="I144" s="79"/>
      <c r="J144" s="76"/>
      <c r="K144" s="83"/>
      <c r="L144" s="83"/>
      <c r="M144" s="16"/>
    </row>
    <row r="145" spans="1:13" ht="81" customHeight="1">
      <c r="A145" s="10">
        <v>141</v>
      </c>
      <c r="B145" s="81"/>
      <c r="D145" s="82"/>
      <c r="E145" s="81"/>
      <c r="F145" s="78"/>
      <c r="G145" s="81"/>
      <c r="H145" s="81"/>
      <c r="I145" s="79"/>
      <c r="J145" s="76"/>
      <c r="K145" s="83"/>
      <c r="L145" s="83"/>
      <c r="M145" s="16"/>
    </row>
    <row r="146" spans="1:13" ht="81" customHeight="1">
      <c r="A146" s="10">
        <v>142</v>
      </c>
      <c r="B146" s="81"/>
      <c r="D146" s="82"/>
      <c r="E146" s="81"/>
      <c r="F146" s="78"/>
      <c r="G146" s="81"/>
      <c r="H146" s="81"/>
      <c r="I146" s="79"/>
      <c r="J146" s="76"/>
      <c r="K146" s="83"/>
      <c r="L146" s="83"/>
      <c r="M146" s="16"/>
    </row>
    <row r="147" spans="1:13" ht="81" customHeight="1">
      <c r="A147" s="10">
        <v>143</v>
      </c>
      <c r="B147" s="81"/>
      <c r="D147" s="82"/>
      <c r="E147" s="81"/>
      <c r="F147" s="78"/>
      <c r="G147" s="81"/>
      <c r="H147" s="81"/>
      <c r="I147" s="79"/>
      <c r="J147" s="76"/>
      <c r="K147" s="83"/>
      <c r="L147" s="83"/>
      <c r="M147" s="16"/>
    </row>
    <row r="148" spans="1:13" ht="81" customHeight="1">
      <c r="A148" s="10">
        <v>144</v>
      </c>
      <c r="B148" s="81"/>
      <c r="D148" s="82"/>
      <c r="E148" s="81"/>
      <c r="F148" s="78"/>
      <c r="G148" s="81"/>
      <c r="H148" s="81"/>
      <c r="I148" s="79"/>
      <c r="J148" s="76"/>
      <c r="K148" s="83"/>
      <c r="L148" s="83"/>
      <c r="M148" s="16"/>
    </row>
    <row r="149" spans="1:13" ht="81" customHeight="1">
      <c r="A149" s="10">
        <v>145</v>
      </c>
      <c r="B149" s="81"/>
      <c r="D149" s="82"/>
      <c r="E149" s="81"/>
      <c r="F149" s="78"/>
      <c r="G149" s="81"/>
      <c r="H149" s="81"/>
      <c r="I149" s="79"/>
      <c r="J149" s="76"/>
      <c r="K149" s="83"/>
      <c r="L149" s="83"/>
      <c r="M149" s="16"/>
    </row>
    <row r="150" spans="1:13" ht="81" customHeight="1">
      <c r="A150" s="10">
        <v>146</v>
      </c>
      <c r="B150" s="81"/>
      <c r="D150" s="82"/>
      <c r="E150" s="81"/>
      <c r="F150" s="78"/>
      <c r="G150" s="81"/>
      <c r="H150" s="81"/>
      <c r="I150" s="79"/>
      <c r="J150" s="76"/>
      <c r="K150" s="83"/>
      <c r="L150" s="83"/>
      <c r="M150" s="16"/>
    </row>
    <row r="151" spans="1:13" ht="81" customHeight="1">
      <c r="A151" s="10">
        <v>147</v>
      </c>
      <c r="B151" s="81"/>
      <c r="D151" s="82"/>
      <c r="E151" s="81"/>
      <c r="F151" s="78"/>
      <c r="G151" s="81"/>
      <c r="H151" s="81"/>
      <c r="I151" s="79"/>
      <c r="J151" s="76"/>
      <c r="K151" s="83"/>
      <c r="L151" s="83"/>
      <c r="M151" s="16"/>
    </row>
    <row r="152" spans="1:13" ht="81" customHeight="1">
      <c r="A152" s="10">
        <v>148</v>
      </c>
      <c r="B152" s="81"/>
      <c r="D152" s="82"/>
      <c r="E152" s="81"/>
      <c r="F152" s="78"/>
      <c r="G152" s="81"/>
      <c r="H152" s="81"/>
      <c r="I152" s="79"/>
      <c r="J152" s="76"/>
      <c r="K152" s="83"/>
      <c r="L152" s="83"/>
      <c r="M152" s="16"/>
    </row>
    <row r="153" spans="1:13" ht="81" customHeight="1">
      <c r="A153" s="10">
        <v>149</v>
      </c>
      <c r="B153" s="81"/>
      <c r="D153" s="82"/>
      <c r="E153" s="81"/>
      <c r="F153" s="78"/>
      <c r="G153" s="81"/>
      <c r="H153" s="81"/>
      <c r="I153" s="79"/>
      <c r="J153" s="76"/>
      <c r="K153" s="83"/>
      <c r="L153" s="83"/>
      <c r="M153" s="16"/>
    </row>
    <row r="154" spans="1:13" ht="81" customHeight="1">
      <c r="A154" s="10">
        <v>150</v>
      </c>
      <c r="B154" s="81"/>
      <c r="D154" s="82"/>
      <c r="E154" s="81"/>
      <c r="F154" s="78"/>
      <c r="G154" s="81"/>
      <c r="H154" s="81"/>
      <c r="I154" s="79"/>
      <c r="J154" s="76"/>
      <c r="K154" s="83"/>
      <c r="L154" s="83"/>
      <c r="M154" s="16"/>
    </row>
    <row r="155" spans="1:13" ht="81" customHeight="1">
      <c r="A155" s="10">
        <v>151</v>
      </c>
      <c r="B155" s="81"/>
      <c r="D155" s="82"/>
      <c r="E155" s="81"/>
      <c r="F155" s="78"/>
      <c r="G155" s="81"/>
      <c r="H155" s="81"/>
      <c r="I155" s="79"/>
      <c r="J155" s="76"/>
      <c r="K155" s="83"/>
      <c r="L155" s="83"/>
      <c r="M155" s="16"/>
    </row>
    <row r="156" spans="1:13" ht="81" customHeight="1">
      <c r="A156" s="10">
        <v>152</v>
      </c>
      <c r="B156" s="81"/>
      <c r="D156" s="82"/>
      <c r="E156" s="81"/>
      <c r="F156" s="78"/>
      <c r="G156" s="81"/>
      <c r="H156" s="81"/>
      <c r="I156" s="79"/>
      <c r="J156" s="76"/>
      <c r="K156" s="83"/>
      <c r="L156" s="83"/>
      <c r="M156" s="16"/>
    </row>
    <row r="157" spans="1:13" ht="81" customHeight="1">
      <c r="A157" s="10">
        <v>153</v>
      </c>
      <c r="B157" s="81"/>
      <c r="D157" s="82"/>
      <c r="E157" s="81"/>
      <c r="F157" s="78"/>
      <c r="G157" s="81"/>
      <c r="H157" s="81"/>
      <c r="I157" s="79"/>
      <c r="J157" s="76"/>
      <c r="K157" s="83"/>
      <c r="L157" s="83"/>
      <c r="M157" s="16"/>
    </row>
    <row r="158" spans="1:13" ht="81" customHeight="1">
      <c r="A158" s="10">
        <v>154</v>
      </c>
      <c r="B158" s="81"/>
      <c r="D158" s="82"/>
      <c r="E158" s="81"/>
      <c r="F158" s="78"/>
      <c r="G158" s="81"/>
      <c r="H158" s="81"/>
      <c r="I158" s="79"/>
      <c r="J158" s="76"/>
      <c r="K158" s="83"/>
      <c r="L158" s="83"/>
      <c r="M158" s="16"/>
    </row>
    <row r="159" spans="1:13" ht="81" customHeight="1">
      <c r="A159" s="10">
        <v>155</v>
      </c>
      <c r="B159" s="81"/>
      <c r="D159" s="82"/>
      <c r="E159" s="81"/>
      <c r="F159" s="78"/>
      <c r="G159" s="81"/>
      <c r="H159" s="81"/>
      <c r="I159" s="79"/>
      <c r="J159" s="76"/>
      <c r="K159" s="83"/>
      <c r="L159" s="83"/>
      <c r="M159" s="16"/>
    </row>
    <row r="160" spans="1:13" ht="81" customHeight="1">
      <c r="A160" s="10">
        <v>156</v>
      </c>
      <c r="B160" s="81"/>
      <c r="D160" s="82"/>
      <c r="E160" s="81"/>
      <c r="F160" s="78"/>
      <c r="G160" s="81"/>
      <c r="H160" s="81"/>
      <c r="I160" s="79"/>
      <c r="J160" s="76"/>
      <c r="K160" s="83"/>
      <c r="L160" s="83"/>
      <c r="M160" s="16"/>
    </row>
    <row r="161" spans="1:13" ht="81" customHeight="1">
      <c r="A161" s="10">
        <v>157</v>
      </c>
      <c r="B161" s="81"/>
      <c r="D161" s="82"/>
      <c r="E161" s="81"/>
      <c r="F161" s="78"/>
      <c r="G161" s="81"/>
      <c r="H161" s="81"/>
      <c r="I161" s="79"/>
      <c r="J161" s="76"/>
      <c r="K161" s="83"/>
      <c r="L161" s="83"/>
      <c r="M161" s="16"/>
    </row>
    <row r="162" spans="1:13" ht="81" customHeight="1">
      <c r="A162" s="10">
        <v>158</v>
      </c>
      <c r="B162" s="81"/>
      <c r="D162" s="82"/>
      <c r="E162" s="81"/>
      <c r="F162" s="78"/>
      <c r="G162" s="81"/>
      <c r="H162" s="81"/>
      <c r="I162" s="79"/>
      <c r="J162" s="76"/>
      <c r="K162" s="83"/>
      <c r="L162" s="83"/>
      <c r="M162" s="16"/>
    </row>
    <row r="163" spans="1:13" ht="81" customHeight="1">
      <c r="A163" s="10">
        <v>159</v>
      </c>
      <c r="B163" s="81"/>
      <c r="D163" s="82"/>
      <c r="E163" s="81"/>
      <c r="F163" s="78"/>
      <c r="G163" s="81"/>
      <c r="H163" s="81"/>
      <c r="I163" s="79"/>
      <c r="J163" s="76"/>
      <c r="K163" s="83"/>
      <c r="L163" s="83"/>
      <c r="M163" s="16"/>
    </row>
    <row r="164" spans="1:13" ht="81" customHeight="1">
      <c r="A164" s="10">
        <v>160</v>
      </c>
      <c r="B164" s="81"/>
      <c r="D164" s="82"/>
      <c r="E164" s="81"/>
      <c r="F164" s="78"/>
      <c r="G164" s="81"/>
      <c r="H164" s="81"/>
      <c r="I164" s="79"/>
      <c r="J164" s="76"/>
      <c r="K164" s="83"/>
      <c r="L164" s="83"/>
      <c r="M164" s="16"/>
    </row>
    <row r="165" spans="1:13" ht="81" customHeight="1">
      <c r="A165" s="10">
        <v>161</v>
      </c>
      <c r="B165" s="81"/>
      <c r="D165" s="82"/>
      <c r="E165" s="81"/>
      <c r="F165" s="78"/>
      <c r="G165" s="81"/>
      <c r="H165" s="81"/>
      <c r="I165" s="79"/>
      <c r="J165" s="76"/>
      <c r="K165" s="83"/>
      <c r="L165" s="83"/>
      <c r="M165" s="16"/>
    </row>
    <row r="166" spans="1:13" ht="81" customHeight="1">
      <c r="A166" s="10">
        <v>162</v>
      </c>
      <c r="B166" s="81"/>
      <c r="D166" s="82"/>
      <c r="E166" s="81"/>
      <c r="F166" s="78"/>
      <c r="G166" s="81"/>
      <c r="H166" s="81"/>
      <c r="I166" s="79"/>
      <c r="J166" s="76"/>
      <c r="K166" s="83"/>
      <c r="L166" s="83"/>
      <c r="M166" s="16"/>
    </row>
    <row r="167" spans="1:13" ht="81" customHeight="1">
      <c r="A167" s="10">
        <v>163</v>
      </c>
      <c r="B167" s="81"/>
      <c r="D167" s="82"/>
      <c r="E167" s="81"/>
      <c r="F167" s="78"/>
      <c r="G167" s="81"/>
      <c r="H167" s="81"/>
      <c r="I167" s="79"/>
      <c r="J167" s="76"/>
      <c r="K167" s="83"/>
      <c r="L167" s="83"/>
      <c r="M167" s="16"/>
    </row>
    <row r="168" spans="1:13" ht="81" customHeight="1">
      <c r="A168" s="10">
        <v>164</v>
      </c>
      <c r="B168" s="81"/>
      <c r="D168" s="82"/>
      <c r="E168" s="81"/>
      <c r="F168" s="78"/>
      <c r="G168" s="81"/>
      <c r="H168" s="81"/>
      <c r="I168" s="79"/>
      <c r="J168" s="76"/>
      <c r="K168" s="83"/>
      <c r="L168" s="83"/>
      <c r="M168" s="16"/>
    </row>
    <row r="169" spans="1:13" ht="81" customHeight="1">
      <c r="A169" s="10">
        <v>178</v>
      </c>
      <c r="B169" s="81"/>
      <c r="D169" s="82"/>
      <c r="E169" s="81"/>
      <c r="F169" s="78"/>
      <c r="G169" s="81"/>
      <c r="H169" s="81"/>
      <c r="I169" s="79"/>
      <c r="J169" s="76"/>
      <c r="K169" s="83"/>
      <c r="L169" s="83"/>
      <c r="M169" s="16"/>
    </row>
    <row r="170" spans="1:13" ht="81" customHeight="1">
      <c r="A170" s="10">
        <v>179</v>
      </c>
      <c r="B170" s="81"/>
      <c r="D170" s="82"/>
      <c r="E170" s="81"/>
      <c r="F170" s="78"/>
      <c r="G170" s="81"/>
      <c r="H170" s="81"/>
      <c r="I170" s="79"/>
      <c r="J170" s="76"/>
      <c r="K170" s="83"/>
      <c r="L170" s="83"/>
      <c r="M170" s="16"/>
    </row>
    <row r="171" spans="1:13" ht="81" customHeight="1">
      <c r="A171" s="10">
        <v>180</v>
      </c>
      <c r="B171" s="81"/>
      <c r="D171" s="82"/>
      <c r="E171" s="81"/>
      <c r="F171" s="78"/>
      <c r="G171" s="81"/>
      <c r="H171" s="81"/>
      <c r="I171" s="79"/>
      <c r="J171" s="76"/>
      <c r="K171" s="83"/>
      <c r="L171" s="83"/>
      <c r="M171" s="16"/>
    </row>
    <row r="172" spans="1:13" ht="81" customHeight="1">
      <c r="A172" s="10">
        <v>181</v>
      </c>
      <c r="B172" s="81"/>
      <c r="D172" s="82"/>
      <c r="E172" s="81"/>
      <c r="F172" s="78"/>
      <c r="G172" s="81"/>
      <c r="H172" s="81"/>
      <c r="I172" s="79"/>
      <c r="J172" s="76"/>
      <c r="K172" s="83"/>
      <c r="L172" s="83"/>
      <c r="M172" s="16"/>
    </row>
    <row r="173" spans="1:13" ht="81" customHeight="1">
      <c r="A173" s="10">
        <v>182</v>
      </c>
      <c r="B173" s="81"/>
      <c r="D173" s="82"/>
      <c r="E173" s="81"/>
      <c r="F173" s="78"/>
      <c r="G173" s="81"/>
      <c r="H173" s="81"/>
      <c r="I173" s="79"/>
      <c r="J173" s="76"/>
      <c r="K173" s="83"/>
      <c r="L173" s="83"/>
      <c r="M173" s="16"/>
    </row>
    <row r="174" spans="1:13" ht="81" customHeight="1">
      <c r="A174" s="10">
        <v>183</v>
      </c>
      <c r="B174" s="81"/>
      <c r="D174" s="82"/>
      <c r="E174" s="81"/>
      <c r="F174" s="78"/>
      <c r="G174" s="81"/>
      <c r="H174" s="81"/>
      <c r="I174" s="79"/>
      <c r="J174" s="76"/>
      <c r="K174" s="83"/>
      <c r="L174" s="83"/>
      <c r="M174" s="16"/>
    </row>
    <row r="175" spans="1:13" ht="81" customHeight="1">
      <c r="A175" s="10">
        <v>184</v>
      </c>
      <c r="B175" s="81"/>
      <c r="D175" s="82"/>
      <c r="E175" s="81"/>
      <c r="F175" s="78"/>
      <c r="G175" s="81"/>
      <c r="H175" s="81"/>
      <c r="I175" s="79"/>
      <c r="J175" s="76"/>
      <c r="K175" s="83"/>
      <c r="L175" s="83"/>
      <c r="M175" s="16"/>
    </row>
    <row r="176" spans="1:13" ht="81" customHeight="1">
      <c r="A176" s="10">
        <v>185</v>
      </c>
      <c r="B176" s="81"/>
      <c r="D176" s="82"/>
      <c r="E176" s="81"/>
      <c r="F176" s="78"/>
      <c r="G176" s="81"/>
      <c r="H176" s="81"/>
      <c r="I176" s="79"/>
      <c r="J176" s="76"/>
      <c r="K176" s="83"/>
      <c r="L176" s="83"/>
      <c r="M176" s="16"/>
    </row>
    <row r="177" spans="1:13" ht="81" customHeight="1">
      <c r="A177" s="10">
        <v>186</v>
      </c>
      <c r="B177" s="81"/>
      <c r="D177" s="82"/>
      <c r="E177" s="81"/>
      <c r="F177" s="78"/>
      <c r="G177" s="81"/>
      <c r="H177" s="81"/>
      <c r="I177" s="79"/>
      <c r="J177" s="76"/>
      <c r="K177" s="83"/>
      <c r="L177" s="83"/>
      <c r="M177" s="16"/>
    </row>
    <row r="178" spans="1:13" ht="81" customHeight="1">
      <c r="A178" s="10">
        <v>187</v>
      </c>
      <c r="B178" s="81"/>
      <c r="D178" s="82"/>
      <c r="E178" s="81"/>
      <c r="F178" s="78"/>
      <c r="G178" s="81"/>
      <c r="H178" s="81"/>
      <c r="I178" s="79"/>
      <c r="J178" s="76"/>
      <c r="K178" s="83"/>
      <c r="L178" s="83"/>
      <c r="M178" s="16"/>
    </row>
    <row r="179" spans="1:13" ht="81" customHeight="1">
      <c r="A179" s="10">
        <v>188</v>
      </c>
      <c r="B179" s="81"/>
      <c r="D179" s="82"/>
      <c r="E179" s="81"/>
      <c r="F179" s="78"/>
      <c r="G179" s="81"/>
      <c r="H179" s="81"/>
      <c r="I179" s="79"/>
      <c r="J179" s="76"/>
      <c r="K179" s="83"/>
      <c r="L179" s="83"/>
      <c r="M179" s="16"/>
    </row>
    <row r="180" spans="1:13" ht="81" customHeight="1">
      <c r="A180" s="10">
        <v>189</v>
      </c>
      <c r="B180" s="81"/>
      <c r="D180" s="82"/>
      <c r="E180" s="81"/>
      <c r="F180" s="78"/>
      <c r="G180" s="81"/>
      <c r="H180" s="81"/>
      <c r="I180" s="79"/>
      <c r="J180" s="76"/>
      <c r="K180" s="83"/>
      <c r="L180" s="83"/>
      <c r="M180" s="16"/>
    </row>
    <row r="181" spans="1:13" ht="81" customHeight="1">
      <c r="A181" s="10">
        <v>190</v>
      </c>
      <c r="F181" s="7"/>
      <c r="H181" s="12"/>
      <c r="I181" s="5"/>
      <c r="J181" s="6"/>
      <c r="M181" s="16"/>
    </row>
    <row r="182" spans="1:13" ht="81" customHeight="1">
      <c r="A182" s="10">
        <v>191</v>
      </c>
      <c r="F182" s="7"/>
      <c r="H182" s="12"/>
      <c r="I182" s="5"/>
      <c r="J182" s="6"/>
      <c r="M182" s="16"/>
    </row>
    <row r="183" spans="1:13" ht="81" customHeight="1">
      <c r="A183" s="10">
        <v>192</v>
      </c>
      <c r="F183" s="7"/>
      <c r="H183" s="12"/>
      <c r="I183" s="5"/>
      <c r="J183" s="6"/>
      <c r="M183" s="16"/>
    </row>
    <row r="184" spans="1:13" ht="81" customHeight="1">
      <c r="A184" s="10">
        <v>193</v>
      </c>
      <c r="F184" s="7"/>
      <c r="H184" s="12"/>
      <c r="I184" s="5"/>
      <c r="J184" s="6"/>
      <c r="M184" s="16"/>
    </row>
    <row r="185" spans="1:13" ht="81" customHeight="1">
      <c r="A185" s="10">
        <v>194</v>
      </c>
      <c r="F185" s="7"/>
      <c r="H185" s="12"/>
      <c r="I185" s="5"/>
      <c r="J185" s="6"/>
      <c r="M185" s="16"/>
    </row>
    <row r="186" spans="1:13" ht="81" customHeight="1">
      <c r="A186" s="10">
        <v>195</v>
      </c>
      <c r="F186" s="7"/>
      <c r="H186" s="12"/>
      <c r="I186" s="5"/>
      <c r="J186" s="6"/>
      <c r="M186" s="16"/>
    </row>
    <row r="187" spans="1:13" ht="81" customHeight="1">
      <c r="A187" s="10">
        <v>196</v>
      </c>
      <c r="F187" s="7"/>
      <c r="H187" s="12"/>
      <c r="I187" s="5"/>
      <c r="J187" s="6"/>
      <c r="M187" s="16"/>
    </row>
    <row r="188" spans="1:13" ht="81" customHeight="1">
      <c r="A188" s="10">
        <v>197</v>
      </c>
      <c r="F188" s="7"/>
      <c r="H188" s="12"/>
      <c r="I188" s="5"/>
      <c r="J188" s="6"/>
      <c r="M188" s="16"/>
    </row>
    <row r="189" spans="1:13" ht="81" customHeight="1">
      <c r="A189" s="10">
        <v>198</v>
      </c>
      <c r="F189" s="7"/>
      <c r="H189" s="12"/>
      <c r="I189" s="5"/>
      <c r="J189" s="6"/>
      <c r="M189" s="16"/>
    </row>
    <row r="190" spans="1:13" ht="81" customHeight="1">
      <c r="A190" s="10">
        <v>199</v>
      </c>
      <c r="F190" s="7"/>
      <c r="H190" s="12"/>
      <c r="I190" s="5"/>
      <c r="J190" s="6"/>
      <c r="M190" s="16"/>
    </row>
    <row r="191" spans="1:13" ht="81" customHeight="1">
      <c r="A191" s="10">
        <v>200</v>
      </c>
      <c r="F191" s="7"/>
      <c r="H191" s="12"/>
      <c r="I191" s="5"/>
      <c r="J191" s="6"/>
      <c r="M191" s="16"/>
    </row>
    <row r="192" spans="1:13" ht="81" customHeight="1">
      <c r="A192" s="14"/>
      <c r="F192" s="7"/>
      <c r="H192" s="12"/>
      <c r="I192" s="5"/>
      <c r="J192" s="6"/>
      <c r="M192" s="16"/>
    </row>
    <row r="193" spans="1:13" ht="81" customHeight="1">
      <c r="A193" s="14"/>
      <c r="F193" s="7"/>
      <c r="H193" s="12"/>
      <c r="I193" s="5"/>
      <c r="J193" s="6"/>
      <c r="M193" s="16"/>
    </row>
    <row r="194" spans="1:13" ht="81" customHeight="1">
      <c r="A194" s="14"/>
      <c r="F194" s="7"/>
      <c r="H194" s="12"/>
      <c r="I194" s="5"/>
      <c r="J194" s="6"/>
      <c r="M194" s="16"/>
    </row>
    <row r="195" spans="1:13" ht="81" customHeight="1">
      <c r="A195" s="14"/>
      <c r="F195" s="7"/>
      <c r="H195" s="12"/>
      <c r="I195" s="5"/>
      <c r="J195" s="6"/>
      <c r="M195" s="16"/>
    </row>
    <row r="196" spans="1:13" ht="81" customHeight="1">
      <c r="A196" s="14"/>
      <c r="F196" s="7"/>
      <c r="H196" s="12"/>
      <c r="I196" s="5"/>
      <c r="J196" s="6"/>
      <c r="M196" s="16"/>
    </row>
    <row r="197" spans="1:13" ht="81" customHeight="1">
      <c r="A197" s="14"/>
      <c r="F197" s="7"/>
      <c r="H197" s="12"/>
      <c r="I197" s="5"/>
      <c r="J197" s="6"/>
      <c r="M197" s="16"/>
    </row>
    <row r="198" spans="1:13" ht="81" customHeight="1">
      <c r="A198" s="14"/>
      <c r="F198" s="7"/>
      <c r="H198" s="12"/>
      <c r="I198" s="5"/>
      <c r="J198" s="6"/>
      <c r="M198" s="16"/>
    </row>
    <row r="199" spans="1:13" ht="81" customHeight="1">
      <c r="A199" s="14"/>
      <c r="F199" s="7"/>
      <c r="H199" s="12"/>
      <c r="I199" s="5"/>
      <c r="J199" s="6"/>
      <c r="M199" s="16"/>
    </row>
    <row r="200" spans="1:13" ht="81" customHeight="1">
      <c r="A200" s="14"/>
      <c r="F200" s="7"/>
      <c r="H200" s="12"/>
      <c r="I200" s="5"/>
      <c r="J200" s="6"/>
      <c r="M200" s="16"/>
    </row>
    <row r="201" spans="1:13" ht="81" customHeight="1">
      <c r="A201" s="14"/>
      <c r="F201" s="7"/>
      <c r="H201" s="12"/>
      <c r="I201" s="5"/>
      <c r="J201" s="6"/>
      <c r="M201" s="16"/>
    </row>
    <row r="202" spans="1:13" ht="81" customHeight="1">
      <c r="A202" s="14"/>
      <c r="F202" s="7"/>
      <c r="H202" s="12"/>
      <c r="I202" s="5"/>
      <c r="J202" s="6"/>
      <c r="M202" s="16"/>
    </row>
    <row r="203" spans="1:13" ht="81" customHeight="1">
      <c r="A203" s="14"/>
      <c r="F203" s="7"/>
      <c r="H203" s="12"/>
      <c r="I203" s="5"/>
      <c r="J203" s="6"/>
      <c r="M203" s="16"/>
    </row>
    <row r="204" spans="1:13" ht="81" customHeight="1">
      <c r="A204" s="14"/>
      <c r="F204" s="7"/>
      <c r="H204" s="12"/>
      <c r="I204" s="5"/>
      <c r="J204" s="6"/>
      <c r="M204" s="16"/>
    </row>
    <row r="205" spans="1:13" ht="81" customHeight="1">
      <c r="A205" s="14"/>
      <c r="F205" s="7"/>
      <c r="H205" s="12"/>
      <c r="I205" s="5"/>
      <c r="J205" s="6"/>
      <c r="M205" s="16"/>
    </row>
    <row r="206" spans="1:13" ht="81" customHeight="1">
      <c r="A206" s="14"/>
      <c r="F206" s="7"/>
      <c r="H206" s="12"/>
      <c r="I206" s="5"/>
      <c r="J206" s="6"/>
      <c r="M206" s="16"/>
    </row>
    <row r="207" spans="1:13" ht="81" customHeight="1">
      <c r="A207" s="14"/>
      <c r="F207" s="7"/>
      <c r="H207" s="12"/>
      <c r="I207" s="5"/>
      <c r="J207" s="6"/>
      <c r="M207" s="16"/>
    </row>
    <row r="208" spans="1:13" ht="81" customHeight="1">
      <c r="A208" s="14"/>
      <c r="F208" s="7"/>
      <c r="H208" s="12"/>
      <c r="I208" s="5"/>
      <c r="J208" s="6"/>
      <c r="M208" s="16"/>
    </row>
    <row r="209" spans="1:13" ht="81" customHeight="1">
      <c r="A209" s="14"/>
      <c r="F209" s="7"/>
      <c r="H209" s="12"/>
      <c r="I209" s="5"/>
      <c r="J209" s="6"/>
      <c r="M209" s="16"/>
    </row>
    <row r="210" spans="1:13" ht="81" customHeight="1">
      <c r="A210" s="14"/>
      <c r="F210" s="7"/>
      <c r="H210" s="12"/>
      <c r="I210" s="5"/>
      <c r="J210" s="6"/>
      <c r="M210" s="16"/>
    </row>
    <row r="211" spans="1:13" ht="81" customHeight="1">
      <c r="A211" s="14"/>
      <c r="F211" s="7"/>
      <c r="H211" s="12"/>
      <c r="I211" s="5"/>
      <c r="J211" s="6"/>
      <c r="M211" s="16"/>
    </row>
    <row r="212" spans="1:13" ht="81" customHeight="1">
      <c r="A212" s="14"/>
      <c r="F212" s="7"/>
      <c r="H212" s="12"/>
      <c r="I212" s="5"/>
      <c r="J212" s="6"/>
      <c r="M212" s="16"/>
    </row>
    <row r="213" spans="1:13" ht="81" customHeight="1">
      <c r="A213" s="14"/>
      <c r="F213" s="7"/>
      <c r="H213" s="12"/>
      <c r="I213" s="5"/>
      <c r="J213" s="6"/>
      <c r="M213" s="16"/>
    </row>
    <row r="214" spans="1:13" ht="81" customHeight="1">
      <c r="A214" s="14"/>
      <c r="F214" s="7"/>
      <c r="H214" s="12"/>
      <c r="I214" s="5"/>
      <c r="J214" s="6"/>
      <c r="M214" s="16"/>
    </row>
    <row r="215" spans="1:13" ht="81" customHeight="1">
      <c r="A215" s="14"/>
      <c r="F215" s="7"/>
      <c r="H215" s="12"/>
      <c r="I215" s="5"/>
      <c r="J215" s="6"/>
      <c r="M215" s="16"/>
    </row>
    <row r="216" spans="1:13" ht="81" customHeight="1">
      <c r="A216" s="14"/>
      <c r="F216" s="7"/>
      <c r="H216" s="12"/>
      <c r="I216" s="5"/>
      <c r="J216" s="6"/>
      <c r="M216" s="16"/>
    </row>
    <row r="217" spans="1:13" ht="81" customHeight="1">
      <c r="A217" s="14"/>
      <c r="F217" s="7"/>
      <c r="H217" s="12"/>
      <c r="I217" s="5"/>
      <c r="J217" s="6"/>
      <c r="M217" s="16"/>
    </row>
    <row r="218" spans="1:13" ht="81" customHeight="1">
      <c r="A218" s="14"/>
      <c r="F218" s="7"/>
      <c r="H218" s="12"/>
      <c r="I218" s="5"/>
      <c r="J218" s="6"/>
      <c r="M218" s="16"/>
    </row>
    <row r="219" spans="1:13" ht="81" customHeight="1">
      <c r="A219" s="14"/>
      <c r="F219" s="7"/>
      <c r="H219" s="12"/>
      <c r="I219" s="5"/>
      <c r="J219" s="6"/>
      <c r="M219" s="16"/>
    </row>
    <row r="220" spans="1:13" ht="81" customHeight="1">
      <c r="A220" s="14"/>
      <c r="F220" s="7"/>
      <c r="H220" s="12"/>
      <c r="I220" s="5"/>
      <c r="J220" s="6"/>
      <c r="M220" s="16"/>
    </row>
    <row r="221" spans="1:13" ht="81" customHeight="1">
      <c r="A221" s="14"/>
      <c r="F221" s="7"/>
      <c r="H221" s="12"/>
      <c r="I221" s="5"/>
      <c r="J221" s="6"/>
      <c r="M221" s="16"/>
    </row>
    <row r="222" spans="1:13" ht="81" customHeight="1">
      <c r="A222" s="14"/>
      <c r="F222" s="7"/>
      <c r="H222" s="12"/>
      <c r="I222" s="5"/>
      <c r="J222" s="6"/>
      <c r="M222" s="16"/>
    </row>
    <row r="223" spans="1:13" ht="81" customHeight="1">
      <c r="A223" s="14"/>
      <c r="F223" s="7"/>
      <c r="H223" s="12"/>
      <c r="I223" s="5"/>
      <c r="J223" s="6"/>
      <c r="M223" s="16"/>
    </row>
    <row r="224" spans="1:13" ht="81" customHeight="1">
      <c r="A224" s="14"/>
      <c r="F224" s="7"/>
      <c r="H224" s="12"/>
      <c r="I224" s="5"/>
      <c r="J224" s="6"/>
      <c r="M224" s="16"/>
    </row>
    <row r="225" spans="1:13" ht="81" customHeight="1">
      <c r="A225" s="14"/>
      <c r="F225" s="7"/>
      <c r="H225" s="12"/>
      <c r="I225" s="5"/>
      <c r="J225" s="6"/>
      <c r="M225" s="16"/>
    </row>
    <row r="226" spans="1:13" ht="81" customHeight="1">
      <c r="A226" s="14"/>
      <c r="F226" s="7"/>
      <c r="H226" s="12"/>
      <c r="I226" s="5"/>
      <c r="J226" s="6"/>
      <c r="M226" s="16"/>
    </row>
    <row r="227" spans="1:13" ht="81" customHeight="1">
      <c r="A227" s="14"/>
      <c r="F227" s="7"/>
      <c r="H227" s="12"/>
      <c r="I227" s="5"/>
      <c r="J227" s="6"/>
      <c r="M227" s="16"/>
    </row>
    <row r="228" spans="1:13" ht="81" customHeight="1">
      <c r="A228" s="14"/>
      <c r="F228" s="7"/>
      <c r="H228" s="12"/>
      <c r="I228" s="5"/>
      <c r="J228" s="6"/>
      <c r="M228" s="16"/>
    </row>
    <row r="229" spans="1:13" ht="81" customHeight="1">
      <c r="A229" s="14"/>
      <c r="F229" s="7"/>
      <c r="H229" s="12"/>
      <c r="I229" s="5"/>
      <c r="J229" s="6"/>
      <c r="M229" s="16"/>
    </row>
    <row r="230" spans="1:13" ht="81" customHeight="1">
      <c r="A230" s="14"/>
      <c r="F230" s="7"/>
      <c r="H230" s="12"/>
      <c r="I230" s="5"/>
      <c r="J230" s="6"/>
      <c r="M230" s="16"/>
    </row>
    <row r="231" spans="1:13" ht="81" customHeight="1">
      <c r="A231" s="14"/>
      <c r="F231" s="7"/>
      <c r="H231" s="12"/>
      <c r="I231" s="5"/>
      <c r="J231" s="6"/>
      <c r="M231" s="16"/>
    </row>
    <row r="232" spans="1:13" ht="81" customHeight="1">
      <c r="A232" s="14"/>
      <c r="F232" s="7"/>
      <c r="H232" s="12"/>
      <c r="I232" s="5"/>
      <c r="J232" s="6"/>
      <c r="M232" s="16"/>
    </row>
    <row r="233" spans="1:13" ht="81" customHeight="1">
      <c r="A233" s="14"/>
      <c r="F233" s="7"/>
      <c r="H233" s="12"/>
      <c r="I233" s="5"/>
      <c r="J233" s="6"/>
      <c r="M233" s="16"/>
    </row>
    <row r="234" spans="1:13" ht="81" customHeight="1">
      <c r="A234" s="14"/>
      <c r="F234" s="7"/>
      <c r="H234" s="12"/>
      <c r="I234" s="5"/>
      <c r="J234" s="6"/>
      <c r="M234" s="16"/>
    </row>
    <row r="235" spans="1:13" ht="81" customHeight="1">
      <c r="A235" s="14"/>
      <c r="F235" s="7"/>
      <c r="H235" s="12"/>
      <c r="I235" s="5"/>
      <c r="J235" s="6"/>
      <c r="M235" s="16"/>
    </row>
    <row r="236" spans="1:13" ht="81" customHeight="1">
      <c r="A236" s="14"/>
      <c r="F236" s="7"/>
      <c r="H236" s="12"/>
      <c r="I236" s="5"/>
      <c r="J236" s="6"/>
      <c r="M236" s="16"/>
    </row>
    <row r="237" spans="1:13" ht="81" customHeight="1">
      <c r="A237" s="14"/>
      <c r="F237" s="7"/>
      <c r="H237" s="12"/>
      <c r="I237" s="5"/>
      <c r="J237" s="6"/>
      <c r="M237" s="16"/>
    </row>
    <row r="238" spans="1:13" ht="81" customHeight="1">
      <c r="A238" s="14"/>
      <c r="F238" s="7"/>
      <c r="H238" s="12"/>
      <c r="I238" s="5"/>
      <c r="J238" s="6"/>
      <c r="M238" s="16"/>
    </row>
    <row r="239" spans="1:13" ht="81" customHeight="1">
      <c r="A239" s="14"/>
      <c r="F239" s="7"/>
      <c r="H239" s="12"/>
      <c r="I239" s="5"/>
      <c r="J239" s="6"/>
      <c r="M239" s="16"/>
    </row>
    <row r="240" spans="1:13" ht="81" customHeight="1">
      <c r="A240" s="14"/>
      <c r="F240" s="7"/>
      <c r="H240" s="12"/>
      <c r="I240" s="5"/>
      <c r="J240" s="6"/>
      <c r="M240" s="16"/>
    </row>
    <row r="241" spans="1:13" ht="81" customHeight="1">
      <c r="A241" s="14"/>
      <c r="F241" s="7"/>
      <c r="H241" s="12"/>
      <c r="I241" s="5"/>
      <c r="J241" s="6"/>
      <c r="M241" s="16"/>
    </row>
    <row r="242" spans="1:13" ht="81" customHeight="1">
      <c r="A242" s="14"/>
      <c r="F242" s="7"/>
      <c r="H242" s="12"/>
      <c r="I242" s="5"/>
      <c r="J242" s="6"/>
      <c r="M242" s="16"/>
    </row>
    <row r="243" spans="1:13" ht="81" customHeight="1">
      <c r="A243" s="14"/>
      <c r="F243" s="7"/>
      <c r="H243" s="12"/>
      <c r="I243" s="5"/>
      <c r="J243" s="6"/>
      <c r="M243" s="16"/>
    </row>
    <row r="244" spans="1:13" ht="81" customHeight="1">
      <c r="A244" s="14"/>
      <c r="F244" s="7"/>
      <c r="H244" s="12"/>
      <c r="I244" s="5"/>
      <c r="J244" s="6"/>
      <c r="M244" s="16"/>
    </row>
    <row r="245" spans="1:13" ht="81" customHeight="1">
      <c r="A245" s="14"/>
      <c r="F245" s="7"/>
      <c r="H245" s="12"/>
      <c r="I245" s="5"/>
      <c r="J245" s="6"/>
      <c r="M245" s="16"/>
    </row>
    <row r="246" spans="1:13" ht="81" customHeight="1">
      <c r="A246" s="14"/>
      <c r="F246" s="7"/>
      <c r="H246" s="12"/>
      <c r="I246" s="5"/>
      <c r="J246" s="6"/>
      <c r="M246" s="16"/>
    </row>
    <row r="247" spans="1:13" ht="81" customHeight="1">
      <c r="A247" s="14"/>
      <c r="F247" s="7"/>
      <c r="H247" s="12"/>
      <c r="I247" s="5"/>
      <c r="J247" s="6"/>
      <c r="M247" s="16"/>
    </row>
    <row r="248" spans="1:13" ht="81" customHeight="1">
      <c r="A248" s="14"/>
      <c r="F248" s="7"/>
      <c r="H248" s="12"/>
      <c r="I248" s="5"/>
      <c r="J248" s="6"/>
      <c r="M248" s="16"/>
    </row>
    <row r="249" spans="1:13" ht="81" customHeight="1">
      <c r="A249" s="14"/>
      <c r="F249" s="7"/>
      <c r="H249" s="12"/>
      <c r="I249" s="5"/>
      <c r="J249" s="6"/>
      <c r="M249" s="16"/>
    </row>
    <row r="250" spans="1:13" ht="81" customHeight="1">
      <c r="A250" s="14"/>
      <c r="F250" s="7"/>
      <c r="H250" s="12"/>
      <c r="I250" s="5"/>
      <c r="J250" s="6"/>
      <c r="M250" s="16"/>
    </row>
    <row r="251" spans="1:13" ht="81" customHeight="1">
      <c r="A251" s="14"/>
      <c r="F251" s="7"/>
      <c r="H251" s="12"/>
      <c r="I251" s="5"/>
      <c r="J251" s="6"/>
      <c r="M251" s="16"/>
    </row>
    <row r="252" spans="1:13" ht="81" customHeight="1">
      <c r="A252" s="14"/>
      <c r="F252" s="7"/>
      <c r="H252" s="12"/>
      <c r="I252" s="5"/>
      <c r="J252" s="6"/>
      <c r="M252" s="16"/>
    </row>
    <row r="253" spans="1:13" ht="81" customHeight="1">
      <c r="A253" s="14"/>
      <c r="F253" s="7"/>
      <c r="H253" s="12"/>
      <c r="I253" s="5"/>
      <c r="J253" s="6"/>
      <c r="M253" s="16"/>
    </row>
    <row r="254" spans="1:13" ht="81" customHeight="1">
      <c r="A254" s="14"/>
      <c r="F254" s="7"/>
      <c r="H254" s="12"/>
      <c r="I254" s="5"/>
      <c r="J254" s="6"/>
      <c r="M254" s="16"/>
    </row>
    <row r="255" spans="1:13" ht="81" customHeight="1">
      <c r="A255" s="14"/>
      <c r="F255" s="7"/>
      <c r="H255" s="12"/>
      <c r="I255" s="5"/>
      <c r="J255" s="6"/>
      <c r="M255" s="16"/>
    </row>
    <row r="256" spans="1:13" ht="81" customHeight="1">
      <c r="A256" s="14"/>
      <c r="F256" s="7"/>
      <c r="H256" s="12"/>
      <c r="I256" s="5"/>
      <c r="J256" s="6"/>
      <c r="M256" s="16"/>
    </row>
    <row r="257" spans="1:13" ht="81" customHeight="1">
      <c r="A257" s="14"/>
      <c r="F257" s="7"/>
      <c r="H257" s="12"/>
      <c r="I257" s="5"/>
      <c r="J257" s="6"/>
      <c r="M257" s="16"/>
    </row>
    <row r="258" spans="1:13" ht="81" customHeight="1">
      <c r="A258" s="14"/>
      <c r="F258" s="7"/>
      <c r="H258" s="12"/>
      <c r="I258" s="5"/>
      <c r="J258" s="6"/>
      <c r="M258" s="16"/>
    </row>
    <row r="259" spans="1:13" ht="81" customHeight="1">
      <c r="A259" s="14"/>
      <c r="F259" s="7"/>
      <c r="H259" s="12"/>
      <c r="I259" s="5"/>
      <c r="J259" s="6"/>
      <c r="M259" s="16"/>
    </row>
    <row r="260" spans="1:13" ht="81" customHeight="1">
      <c r="A260" s="14"/>
      <c r="F260" s="7"/>
      <c r="H260" s="12"/>
      <c r="I260" s="5"/>
      <c r="J260" s="6"/>
      <c r="M260" s="16"/>
    </row>
    <row r="261" spans="1:13" ht="81" customHeight="1">
      <c r="A261" s="14"/>
      <c r="F261" s="7"/>
      <c r="H261" s="12"/>
      <c r="I261" s="5"/>
      <c r="J261" s="6"/>
      <c r="M261" s="16"/>
    </row>
    <row r="262" spans="1:13" ht="81" customHeight="1">
      <c r="A262" s="14"/>
      <c r="F262" s="7"/>
      <c r="H262" s="12"/>
      <c r="I262" s="5"/>
      <c r="J262" s="6"/>
      <c r="M262" s="16"/>
    </row>
    <row r="263" spans="1:13" ht="81" customHeight="1">
      <c r="A263" s="14"/>
      <c r="F263" s="7"/>
      <c r="H263" s="12"/>
      <c r="I263" s="5"/>
      <c r="J263" s="6"/>
      <c r="M263" s="16"/>
    </row>
    <row r="264" spans="1:13" ht="81" customHeight="1">
      <c r="A264" s="14"/>
      <c r="F264" s="7"/>
      <c r="H264" s="12"/>
      <c r="I264" s="5"/>
      <c r="J264" s="6"/>
      <c r="M264" s="16"/>
    </row>
    <row r="265" spans="1:13" ht="81" customHeight="1">
      <c r="A265" s="14"/>
      <c r="F265" s="7"/>
      <c r="H265" s="12"/>
      <c r="I265" s="5"/>
      <c r="J265" s="6"/>
      <c r="M265" s="16"/>
    </row>
    <row r="266" spans="1:13" ht="81" customHeight="1">
      <c r="A266" s="14"/>
      <c r="F266" s="7"/>
      <c r="H266" s="12"/>
      <c r="I266" s="5"/>
      <c r="J266" s="6"/>
      <c r="M266" s="16"/>
    </row>
    <row r="267" spans="1:13" ht="81" customHeight="1">
      <c r="A267" s="14"/>
      <c r="F267" s="7"/>
      <c r="H267" s="12"/>
      <c r="I267" s="5"/>
      <c r="J267" s="6"/>
      <c r="M267" s="16"/>
    </row>
    <row r="268" spans="1:13" ht="81" customHeight="1">
      <c r="A268" s="14"/>
      <c r="F268" s="7"/>
      <c r="H268" s="12"/>
      <c r="I268" s="5"/>
      <c r="J268" s="6"/>
      <c r="M268" s="16"/>
    </row>
    <row r="269" spans="1:13" ht="81" customHeight="1">
      <c r="A269" s="14"/>
      <c r="F269" s="7"/>
      <c r="H269" s="12"/>
      <c r="I269" s="5"/>
      <c r="J269" s="6"/>
      <c r="M269" s="16"/>
    </row>
    <row r="270" spans="1:13" ht="81" customHeight="1">
      <c r="A270" s="14"/>
      <c r="F270" s="7"/>
      <c r="H270" s="12"/>
      <c r="I270" s="5"/>
      <c r="J270" s="6"/>
      <c r="M270" s="16"/>
    </row>
    <row r="271" spans="1:13" ht="81" customHeight="1">
      <c r="A271" s="14"/>
      <c r="F271" s="7"/>
      <c r="H271" s="12"/>
      <c r="I271" s="5"/>
      <c r="J271" s="6"/>
      <c r="M271" s="16"/>
    </row>
    <row r="272" spans="1:13" ht="81" customHeight="1">
      <c r="A272" s="14"/>
      <c r="F272" s="7"/>
      <c r="H272" s="12"/>
      <c r="I272" s="5"/>
      <c r="J272" s="6"/>
      <c r="M272" s="16"/>
    </row>
    <row r="273" spans="1:13" ht="81" customHeight="1">
      <c r="A273" s="14"/>
      <c r="F273" s="7"/>
      <c r="H273" s="12"/>
      <c r="I273" s="5"/>
      <c r="J273" s="6"/>
      <c r="M273" s="16"/>
    </row>
    <row r="274" spans="1:13" ht="81" customHeight="1">
      <c r="A274" s="14"/>
      <c r="F274" s="7"/>
      <c r="H274" s="12"/>
      <c r="I274" s="5"/>
      <c r="J274" s="6"/>
      <c r="M274" s="16"/>
    </row>
    <row r="275" spans="1:13" ht="81" customHeight="1">
      <c r="A275" s="14"/>
      <c r="F275" s="7"/>
      <c r="H275" s="12"/>
      <c r="I275" s="5"/>
      <c r="J275" s="6"/>
      <c r="M275" s="16"/>
    </row>
    <row r="276" spans="1:13" ht="81" customHeight="1">
      <c r="A276" s="14"/>
      <c r="F276" s="7"/>
      <c r="H276" s="12"/>
      <c r="I276" s="5"/>
      <c r="J276" s="6"/>
      <c r="M276" s="16"/>
    </row>
    <row r="277" spans="1:13" ht="81" customHeight="1">
      <c r="A277" s="14"/>
      <c r="F277" s="7"/>
      <c r="H277" s="12"/>
      <c r="I277" s="5"/>
      <c r="J277" s="6"/>
      <c r="M277" s="16"/>
    </row>
    <row r="278" spans="1:13" ht="81" customHeight="1">
      <c r="A278" s="14"/>
      <c r="F278" s="7"/>
      <c r="H278" s="12"/>
      <c r="I278" s="5"/>
      <c r="J278" s="6"/>
      <c r="M278" s="16"/>
    </row>
    <row r="279" spans="1:13" ht="81" customHeight="1">
      <c r="A279" s="14"/>
      <c r="F279" s="7"/>
      <c r="H279" s="12"/>
      <c r="I279" s="5"/>
      <c r="J279" s="6"/>
      <c r="M279" s="16"/>
    </row>
    <row r="280" spans="1:13" ht="81" customHeight="1">
      <c r="A280" s="14"/>
      <c r="F280" s="7"/>
      <c r="H280" s="12"/>
      <c r="I280" s="5"/>
      <c r="J280" s="6"/>
      <c r="M280" s="16"/>
    </row>
    <row r="281" spans="1:13" ht="81" customHeight="1">
      <c r="A281" s="14"/>
      <c r="F281" s="7"/>
      <c r="H281" s="12"/>
      <c r="I281" s="5"/>
      <c r="J281" s="6"/>
      <c r="M281" s="16"/>
    </row>
    <row r="282" spans="1:13" ht="81" customHeight="1">
      <c r="A282" s="14"/>
      <c r="F282" s="7"/>
      <c r="H282" s="12"/>
      <c r="I282" s="5"/>
      <c r="J282" s="6"/>
      <c r="M282" s="16"/>
    </row>
    <row r="283" spans="1:13" ht="81" customHeight="1">
      <c r="A283" s="14"/>
      <c r="F283" s="7"/>
      <c r="H283" s="12"/>
      <c r="I283" s="5"/>
      <c r="J283" s="6"/>
      <c r="M283" s="16"/>
    </row>
    <row r="284" spans="1:13" ht="81" customHeight="1">
      <c r="A284" s="14"/>
      <c r="F284" s="7"/>
      <c r="H284" s="12"/>
      <c r="I284" s="5"/>
      <c r="J284" s="6"/>
      <c r="M284" s="16"/>
    </row>
    <row r="285" spans="1:13" ht="81" customHeight="1">
      <c r="A285" s="14"/>
      <c r="F285" s="7"/>
      <c r="H285" s="12"/>
      <c r="I285" s="5"/>
      <c r="J285" s="6"/>
      <c r="M285" s="16"/>
    </row>
    <row r="286" spans="1:13" ht="81" customHeight="1">
      <c r="A286" s="14"/>
      <c r="F286" s="7"/>
      <c r="H286" s="12"/>
      <c r="I286" s="5"/>
      <c r="J286" s="6"/>
      <c r="M286" s="16"/>
    </row>
    <row r="287" spans="1:13" ht="81" customHeight="1">
      <c r="A287" s="14"/>
      <c r="F287" s="7"/>
      <c r="H287" s="12"/>
      <c r="I287" s="5"/>
      <c r="J287" s="6"/>
      <c r="M287" s="16"/>
    </row>
    <row r="288" spans="1:13" ht="81" customHeight="1">
      <c r="A288" s="14"/>
      <c r="F288" s="7"/>
      <c r="H288" s="12"/>
      <c r="I288" s="5"/>
      <c r="J288" s="6"/>
      <c r="M288" s="16"/>
    </row>
    <row r="289" spans="1:13" ht="81" customHeight="1">
      <c r="A289" s="14"/>
      <c r="F289" s="7"/>
      <c r="H289" s="12"/>
      <c r="I289" s="5"/>
      <c r="J289" s="6"/>
      <c r="M289" s="16"/>
    </row>
    <row r="290" spans="1:13" ht="81" customHeight="1">
      <c r="A290" s="14"/>
      <c r="F290" s="7"/>
      <c r="H290" s="12"/>
      <c r="I290" s="5"/>
      <c r="J290" s="6"/>
      <c r="M290" s="16"/>
    </row>
    <row r="291" spans="1:13" ht="81" customHeight="1">
      <c r="A291" s="14"/>
      <c r="F291" s="7"/>
      <c r="H291" s="12"/>
      <c r="I291" s="5"/>
      <c r="J291" s="6"/>
      <c r="M291" s="16"/>
    </row>
    <row r="292" spans="1:13" ht="81" customHeight="1">
      <c r="A292" s="14"/>
      <c r="F292" s="7"/>
      <c r="H292" s="12"/>
      <c r="I292" s="5"/>
      <c r="J292" s="6"/>
      <c r="M292" s="16"/>
    </row>
    <row r="293" spans="1:13" ht="81" customHeight="1">
      <c r="A293" s="14"/>
      <c r="F293" s="7"/>
      <c r="H293" s="12"/>
      <c r="I293" s="5"/>
      <c r="J293" s="6"/>
      <c r="M293" s="16"/>
    </row>
    <row r="294" spans="1:13" ht="81" customHeight="1">
      <c r="A294" s="14"/>
      <c r="F294" s="7"/>
      <c r="H294" s="12"/>
      <c r="I294" s="5"/>
      <c r="J294" s="6"/>
      <c r="M294" s="16"/>
    </row>
    <row r="295" spans="1:13" ht="81" customHeight="1">
      <c r="A295" s="14"/>
      <c r="F295" s="7"/>
      <c r="H295" s="12"/>
      <c r="I295" s="5"/>
      <c r="J295" s="6"/>
      <c r="M295" s="16"/>
    </row>
    <row r="296" spans="1:13" ht="81" customHeight="1">
      <c r="A296" s="14"/>
      <c r="F296" s="7"/>
      <c r="H296" s="12"/>
      <c r="I296" s="5"/>
      <c r="J296" s="6"/>
      <c r="M296" s="16"/>
    </row>
    <row r="297" spans="1:13" ht="81" customHeight="1">
      <c r="A297" s="14"/>
      <c r="F297" s="7"/>
      <c r="H297" s="12"/>
      <c r="I297" s="5"/>
      <c r="J297" s="6"/>
      <c r="M297" s="16"/>
    </row>
    <row r="298" spans="1:13" ht="81" customHeight="1">
      <c r="A298" s="14"/>
      <c r="F298" s="7"/>
      <c r="H298" s="12"/>
      <c r="I298" s="5"/>
      <c r="J298" s="6"/>
      <c r="M298" s="16"/>
    </row>
    <row r="299" spans="1:13" ht="81" customHeight="1">
      <c r="A299" s="14"/>
      <c r="F299" s="7"/>
      <c r="H299" s="12"/>
      <c r="I299" s="5"/>
      <c r="J299" s="6"/>
      <c r="M299" s="16"/>
    </row>
    <row r="300" spans="1:13" ht="81" customHeight="1">
      <c r="A300" s="14"/>
      <c r="F300" s="7"/>
      <c r="H300" s="12"/>
      <c r="I300" s="5"/>
      <c r="J300" s="6"/>
      <c r="M300" s="16"/>
    </row>
    <row r="301" spans="1:13" ht="81" customHeight="1">
      <c r="A301" s="14"/>
      <c r="F301" s="7"/>
      <c r="H301" s="12"/>
      <c r="I301" s="5"/>
      <c r="J301" s="6"/>
      <c r="M301" s="16"/>
    </row>
    <row r="302" spans="1:13" ht="81" customHeight="1">
      <c r="A302" s="14"/>
      <c r="F302" s="7"/>
      <c r="H302" s="12"/>
      <c r="I302" s="5"/>
      <c r="J302" s="6"/>
      <c r="M302" s="16"/>
    </row>
    <row r="303" spans="1:13" ht="81" customHeight="1">
      <c r="A303" s="14"/>
      <c r="F303" s="7"/>
      <c r="H303" s="12"/>
      <c r="I303" s="5"/>
      <c r="J303" s="6"/>
      <c r="M303" s="16"/>
    </row>
    <row r="304" spans="1:13" ht="81" customHeight="1">
      <c r="A304" s="14"/>
      <c r="F304" s="7"/>
      <c r="H304" s="12"/>
      <c r="I304" s="5"/>
      <c r="J304" s="6"/>
      <c r="M304" s="16"/>
    </row>
    <row r="305" spans="1:13" ht="81" customHeight="1">
      <c r="A305" s="14"/>
      <c r="F305" s="7"/>
      <c r="H305" s="12"/>
      <c r="I305" s="5"/>
      <c r="J305" s="6"/>
      <c r="M305" s="16"/>
    </row>
    <row r="306" spans="1:13" ht="81" customHeight="1">
      <c r="A306" s="14"/>
      <c r="F306" s="7"/>
      <c r="H306" s="12"/>
      <c r="I306" s="5"/>
      <c r="J306" s="6"/>
      <c r="M306" s="16"/>
    </row>
    <row r="307" spans="1:13" ht="81" customHeight="1">
      <c r="A307" s="14"/>
      <c r="F307" s="7"/>
      <c r="H307" s="12"/>
      <c r="I307" s="5"/>
      <c r="J307" s="6"/>
      <c r="M307" s="16"/>
    </row>
    <row r="308" spans="1:13" ht="81" customHeight="1">
      <c r="A308" s="14"/>
      <c r="F308" s="7"/>
      <c r="H308" s="12"/>
      <c r="I308" s="5"/>
      <c r="J308" s="6"/>
      <c r="M308" s="16"/>
    </row>
    <row r="309" spans="1:13" ht="81" customHeight="1">
      <c r="A309" s="14"/>
      <c r="F309" s="7"/>
      <c r="H309" s="12"/>
      <c r="I309" s="5"/>
      <c r="J309" s="6"/>
      <c r="M309" s="16"/>
    </row>
    <row r="310" spans="1:13" ht="81" customHeight="1">
      <c r="A310" s="14"/>
      <c r="F310" s="7"/>
      <c r="H310" s="12"/>
      <c r="I310" s="5"/>
      <c r="J310" s="6"/>
      <c r="M310" s="16"/>
    </row>
    <row r="311" spans="1:13" ht="81" customHeight="1">
      <c r="A311" s="14"/>
      <c r="F311" s="7"/>
      <c r="H311" s="12"/>
      <c r="I311" s="5"/>
      <c r="J311" s="6"/>
      <c r="M311" s="16"/>
    </row>
    <row r="312" spans="1:13" ht="81" customHeight="1">
      <c r="A312" s="14"/>
      <c r="F312" s="7"/>
      <c r="H312" s="12"/>
      <c r="I312" s="5"/>
      <c r="J312" s="6"/>
      <c r="M312" s="16"/>
    </row>
    <row r="313" spans="1:13" ht="81" customHeight="1">
      <c r="A313" s="14"/>
      <c r="F313" s="7"/>
      <c r="H313" s="12"/>
      <c r="I313" s="5"/>
      <c r="J313" s="6"/>
      <c r="M313" s="16"/>
    </row>
    <row r="314" spans="1:13" ht="81" customHeight="1">
      <c r="A314" s="14"/>
      <c r="F314" s="7"/>
      <c r="H314" s="12"/>
      <c r="I314" s="5"/>
      <c r="J314" s="6"/>
      <c r="M314" s="16"/>
    </row>
    <row r="315" spans="1:13" ht="81" customHeight="1">
      <c r="A315" s="14"/>
      <c r="F315" s="7"/>
      <c r="H315" s="12"/>
      <c r="I315" s="5"/>
      <c r="J315" s="6"/>
      <c r="M315" s="16"/>
    </row>
    <row r="316" spans="1:13" ht="81" customHeight="1">
      <c r="A316" s="14"/>
      <c r="F316" s="7"/>
      <c r="H316" s="12"/>
      <c r="I316" s="5"/>
      <c r="J316" s="6"/>
      <c r="M316" s="16"/>
    </row>
    <row r="317" spans="1:13" ht="81" customHeight="1">
      <c r="A317" s="14"/>
      <c r="F317" s="7"/>
      <c r="H317" s="12"/>
      <c r="I317" s="5"/>
      <c r="J317" s="6"/>
      <c r="M317" s="16"/>
    </row>
    <row r="318" spans="1:13" ht="81" customHeight="1">
      <c r="A318" s="14"/>
      <c r="F318" s="7"/>
      <c r="H318" s="12"/>
      <c r="I318" s="5"/>
      <c r="J318" s="6"/>
      <c r="M318" s="16"/>
    </row>
    <row r="319" spans="1:13" ht="81" customHeight="1">
      <c r="A319" s="14"/>
      <c r="F319" s="7"/>
      <c r="H319" s="12"/>
      <c r="I319" s="5"/>
      <c r="J319" s="6"/>
      <c r="M319" s="16"/>
    </row>
    <row r="320" spans="1:13" ht="81" customHeight="1">
      <c r="A320" s="14"/>
      <c r="F320" s="7"/>
      <c r="H320" s="12"/>
      <c r="I320" s="5"/>
      <c r="J320" s="6"/>
      <c r="M320" s="16"/>
    </row>
    <row r="321" spans="1:13" ht="81" customHeight="1">
      <c r="A321" s="14"/>
      <c r="F321" s="7"/>
      <c r="H321" s="12"/>
      <c r="I321" s="5"/>
      <c r="J321" s="6"/>
      <c r="M321" s="16"/>
    </row>
    <row r="322" spans="1:13" ht="81" customHeight="1">
      <c r="A322" s="14"/>
      <c r="F322" s="7"/>
      <c r="H322" s="12"/>
      <c r="I322" s="5"/>
      <c r="J322" s="6"/>
      <c r="M322" s="16"/>
    </row>
    <row r="323" spans="1:13" ht="81" customHeight="1">
      <c r="A323" s="14"/>
      <c r="F323" s="7"/>
      <c r="H323" s="12"/>
      <c r="I323" s="5"/>
      <c r="J323" s="6"/>
      <c r="M323" s="16"/>
    </row>
    <row r="324" spans="1:13" ht="81" customHeight="1">
      <c r="A324" s="14"/>
      <c r="F324" s="7"/>
      <c r="H324" s="12"/>
      <c r="I324" s="5"/>
      <c r="J324" s="6"/>
      <c r="M324" s="16"/>
    </row>
    <row r="325" spans="1:13" ht="81" customHeight="1">
      <c r="A325" s="14"/>
      <c r="F325" s="7"/>
      <c r="H325" s="12"/>
      <c r="I325" s="5"/>
      <c r="J325" s="6"/>
      <c r="M325" s="16"/>
    </row>
    <row r="326" spans="1:13" ht="81" customHeight="1">
      <c r="A326" s="14"/>
      <c r="F326" s="7"/>
      <c r="H326" s="12"/>
      <c r="I326" s="5"/>
      <c r="J326" s="6"/>
      <c r="M326" s="16"/>
    </row>
    <row r="327" spans="1:13" ht="81" customHeight="1">
      <c r="A327" s="14"/>
      <c r="F327" s="7"/>
      <c r="H327" s="12"/>
      <c r="I327" s="5"/>
      <c r="J327" s="6"/>
      <c r="M327" s="16"/>
    </row>
    <row r="328" spans="1:13" ht="81" customHeight="1">
      <c r="A328" s="14"/>
      <c r="F328" s="7"/>
      <c r="H328" s="12"/>
      <c r="I328" s="5"/>
      <c r="J328" s="6"/>
      <c r="M328" s="16"/>
    </row>
    <row r="329" spans="1:13" ht="81" customHeight="1">
      <c r="A329" s="14"/>
      <c r="F329" s="7"/>
      <c r="H329" s="12"/>
      <c r="I329" s="5"/>
      <c r="J329" s="6"/>
      <c r="M329" s="16"/>
    </row>
    <row r="330" spans="1:13" ht="81" customHeight="1">
      <c r="A330" s="14"/>
      <c r="F330" s="7"/>
      <c r="H330" s="12"/>
      <c r="I330" s="5"/>
      <c r="J330" s="6"/>
      <c r="M330" s="16"/>
    </row>
    <row r="331" spans="1:13" ht="81" customHeight="1">
      <c r="A331" s="14"/>
      <c r="F331" s="7"/>
      <c r="H331" s="12"/>
      <c r="I331" s="5"/>
      <c r="J331" s="6"/>
      <c r="M331" s="16"/>
    </row>
    <row r="332" spans="1:13" ht="81" customHeight="1">
      <c r="A332" s="14"/>
      <c r="F332" s="7"/>
      <c r="H332" s="12"/>
      <c r="I332" s="5"/>
      <c r="J332" s="6"/>
      <c r="M332" s="16"/>
    </row>
    <row r="333" spans="1:13" ht="81" customHeight="1">
      <c r="A333" s="14"/>
      <c r="F333" s="7"/>
      <c r="H333" s="12"/>
      <c r="I333" s="5"/>
      <c r="J333" s="6"/>
      <c r="M333" s="16"/>
    </row>
    <row r="334" spans="1:13" ht="81" customHeight="1">
      <c r="A334" s="14"/>
      <c r="F334" s="7"/>
      <c r="H334" s="12"/>
      <c r="I334" s="5"/>
      <c r="J334" s="6"/>
      <c r="M334" s="16"/>
    </row>
    <row r="335" spans="1:13" ht="81" customHeight="1">
      <c r="A335" s="14"/>
      <c r="F335" s="7"/>
      <c r="H335" s="12"/>
      <c r="I335" s="5"/>
      <c r="J335" s="6"/>
      <c r="M335" s="16"/>
    </row>
    <row r="336" spans="1:13" ht="81" customHeight="1">
      <c r="A336" s="14"/>
      <c r="F336" s="7"/>
      <c r="H336" s="12"/>
      <c r="I336" s="5"/>
      <c r="J336" s="6"/>
      <c r="M336" s="16"/>
    </row>
    <row r="337" spans="1:13" ht="81" customHeight="1">
      <c r="A337" s="14"/>
      <c r="F337" s="7"/>
      <c r="H337" s="12"/>
      <c r="I337" s="5"/>
      <c r="J337" s="6"/>
      <c r="M337" s="16"/>
    </row>
    <row r="338" spans="1:13" ht="81" customHeight="1">
      <c r="A338" s="14"/>
      <c r="F338" s="7"/>
      <c r="H338" s="12"/>
      <c r="I338" s="5"/>
      <c r="J338" s="6"/>
      <c r="M338" s="16"/>
    </row>
    <row r="339" spans="1:13" ht="81" customHeight="1">
      <c r="A339" s="14"/>
      <c r="F339" s="7"/>
      <c r="H339" s="12"/>
      <c r="I339" s="5"/>
      <c r="J339" s="6"/>
      <c r="M339" s="16"/>
    </row>
    <row r="340" spans="1:13" ht="81" customHeight="1">
      <c r="A340" s="14"/>
      <c r="F340" s="7"/>
      <c r="H340" s="12"/>
      <c r="I340" s="5"/>
      <c r="J340" s="6"/>
      <c r="M340" s="16"/>
    </row>
    <row r="341" spans="1:13" ht="81" customHeight="1">
      <c r="A341" s="14"/>
      <c r="F341" s="7"/>
      <c r="H341" s="12"/>
      <c r="I341" s="5"/>
      <c r="J341" s="6"/>
      <c r="M341" s="16"/>
    </row>
    <row r="342" spans="1:13" ht="81" customHeight="1">
      <c r="A342" s="14"/>
      <c r="F342" s="7"/>
      <c r="H342" s="12"/>
      <c r="I342" s="5"/>
      <c r="J342" s="6"/>
      <c r="M342" s="16"/>
    </row>
    <row r="343" spans="1:13" ht="81" customHeight="1">
      <c r="A343" s="14"/>
      <c r="F343" s="7"/>
      <c r="H343" s="12"/>
      <c r="I343" s="5"/>
      <c r="J343" s="6"/>
      <c r="M343" s="16"/>
    </row>
    <row r="344" spans="1:13" ht="81" customHeight="1">
      <c r="A344" s="14"/>
      <c r="F344" s="7"/>
      <c r="H344" s="12"/>
      <c r="I344" s="5"/>
      <c r="J344" s="6"/>
      <c r="M344" s="16"/>
    </row>
    <row r="345" spans="1:13" ht="81" customHeight="1">
      <c r="A345" s="14"/>
      <c r="F345" s="7"/>
      <c r="H345" s="12"/>
      <c r="I345" s="5"/>
      <c r="J345" s="6"/>
      <c r="M345" s="16"/>
    </row>
    <row r="346" spans="1:13" ht="81" customHeight="1">
      <c r="A346" s="14"/>
      <c r="F346" s="7"/>
      <c r="H346" s="12"/>
      <c r="I346" s="5"/>
      <c r="J346" s="6"/>
      <c r="M346" s="16"/>
    </row>
    <row r="347" spans="1:13" ht="81" customHeight="1">
      <c r="A347" s="14"/>
      <c r="F347" s="7"/>
      <c r="H347" s="12"/>
      <c r="I347" s="5"/>
      <c r="J347" s="6"/>
      <c r="M347" s="16"/>
    </row>
    <row r="348" spans="1:13" ht="81" customHeight="1">
      <c r="A348" s="14"/>
      <c r="F348" s="7"/>
      <c r="H348" s="12"/>
      <c r="I348" s="5"/>
      <c r="J348" s="6"/>
      <c r="M348" s="16"/>
    </row>
    <row r="349" spans="1:13" ht="81" customHeight="1">
      <c r="A349" s="14"/>
      <c r="F349" s="7"/>
      <c r="H349" s="12"/>
      <c r="I349" s="5"/>
      <c r="J349" s="6"/>
      <c r="M349" s="16"/>
    </row>
    <row r="350" spans="1:13" ht="81" customHeight="1">
      <c r="A350" s="14"/>
      <c r="F350" s="7"/>
      <c r="H350" s="12"/>
      <c r="I350" s="5"/>
      <c r="J350" s="6"/>
      <c r="M350" s="16"/>
    </row>
    <row r="351" spans="1:13" ht="81" customHeight="1">
      <c r="A351" s="14"/>
      <c r="F351" s="7"/>
      <c r="H351" s="12"/>
      <c r="I351" s="5"/>
      <c r="J351" s="6"/>
      <c r="M351" s="16"/>
    </row>
    <row r="352" spans="1:13" ht="81" customHeight="1">
      <c r="A352" s="14"/>
      <c r="F352" s="7"/>
      <c r="H352" s="12"/>
      <c r="I352" s="5"/>
      <c r="J352" s="6"/>
      <c r="M352" s="16"/>
    </row>
    <row r="353" spans="1:13" ht="81" customHeight="1">
      <c r="A353" s="14"/>
      <c r="F353" s="7"/>
      <c r="H353" s="12"/>
      <c r="I353" s="5"/>
      <c r="J353" s="6"/>
      <c r="M353" s="16"/>
    </row>
    <row r="354" spans="1:13" ht="81" customHeight="1">
      <c r="A354" s="14"/>
      <c r="F354" s="7"/>
      <c r="H354" s="12"/>
      <c r="I354" s="5"/>
      <c r="J354" s="6"/>
      <c r="M354" s="16"/>
    </row>
    <row r="355" spans="1:13" ht="81" customHeight="1">
      <c r="A355" s="14"/>
      <c r="F355" s="7"/>
      <c r="H355" s="12"/>
      <c r="I355" s="5"/>
      <c r="J355" s="6"/>
      <c r="M355" s="16"/>
    </row>
    <row r="356" spans="1:13" ht="81" customHeight="1">
      <c r="A356" s="14"/>
      <c r="F356" s="7"/>
      <c r="H356" s="12"/>
      <c r="I356" s="5"/>
      <c r="J356" s="6"/>
      <c r="M356" s="16"/>
    </row>
    <row r="357" spans="1:13" ht="81" customHeight="1">
      <c r="A357" s="14"/>
      <c r="F357" s="7"/>
      <c r="H357" s="12"/>
      <c r="I357" s="5"/>
      <c r="J357" s="6"/>
      <c r="M357" s="16"/>
    </row>
    <row r="358" spans="1:13" ht="81" customHeight="1">
      <c r="A358" s="14"/>
      <c r="F358" s="7"/>
      <c r="H358" s="12"/>
      <c r="I358" s="5"/>
      <c r="J358" s="6"/>
      <c r="M358" s="16"/>
    </row>
    <row r="359" spans="1:13" ht="81" customHeight="1">
      <c r="A359" s="14"/>
      <c r="F359" s="7"/>
      <c r="H359" s="12"/>
      <c r="I359" s="5"/>
      <c r="J359" s="6"/>
      <c r="M359" s="16"/>
    </row>
    <row r="360" spans="1:13" ht="81" customHeight="1">
      <c r="A360" s="14"/>
      <c r="F360" s="7"/>
      <c r="H360" s="12"/>
      <c r="I360" s="5"/>
      <c r="J360" s="6"/>
      <c r="M360" s="16"/>
    </row>
    <row r="361" spans="1:13" ht="81" customHeight="1">
      <c r="A361" s="14"/>
      <c r="F361" s="7"/>
      <c r="H361" s="12"/>
      <c r="I361" s="5"/>
      <c r="J361" s="6"/>
      <c r="M361" s="16"/>
    </row>
    <row r="362" spans="1:13" ht="81" customHeight="1">
      <c r="A362" s="14"/>
      <c r="F362" s="7"/>
      <c r="H362" s="12"/>
      <c r="I362" s="5"/>
      <c r="J362" s="6"/>
      <c r="M362" s="16"/>
    </row>
    <row r="363" spans="1:13" ht="81" customHeight="1">
      <c r="A363" s="14"/>
      <c r="F363" s="7"/>
      <c r="H363" s="12"/>
      <c r="I363" s="5"/>
      <c r="J363" s="6"/>
      <c r="M363" s="16"/>
    </row>
    <row r="364" spans="1:13" ht="81" customHeight="1">
      <c r="A364" s="14"/>
      <c r="F364" s="7"/>
      <c r="H364" s="12"/>
      <c r="I364" s="5"/>
      <c r="J364" s="6"/>
      <c r="M364" s="16"/>
    </row>
    <row r="365" spans="1:13" ht="81" customHeight="1">
      <c r="A365" s="14"/>
      <c r="F365" s="7"/>
      <c r="H365" s="12"/>
      <c r="I365" s="5"/>
      <c r="J365" s="6"/>
      <c r="M365" s="16"/>
    </row>
    <row r="366" spans="1:13" ht="81" customHeight="1">
      <c r="A366" s="14"/>
      <c r="F366" s="7"/>
      <c r="H366" s="12"/>
      <c r="I366" s="5"/>
      <c r="J366" s="6"/>
      <c r="M366" s="16"/>
    </row>
    <row r="367" spans="1:13" ht="81" customHeight="1">
      <c r="A367" s="14"/>
      <c r="F367" s="7"/>
      <c r="H367" s="12"/>
      <c r="I367" s="5"/>
      <c r="J367" s="6"/>
      <c r="M367" s="16"/>
    </row>
    <row r="368" spans="1:13" ht="81" customHeight="1">
      <c r="A368" s="14"/>
      <c r="F368" s="7"/>
      <c r="H368" s="12"/>
      <c r="I368" s="5"/>
      <c r="J368" s="6"/>
      <c r="M368" s="16"/>
    </row>
    <row r="369" spans="1:13" ht="81" customHeight="1">
      <c r="A369" s="14"/>
      <c r="F369" s="7"/>
      <c r="H369" s="12"/>
      <c r="I369" s="5"/>
      <c r="J369" s="6"/>
      <c r="M369" s="16"/>
    </row>
    <row r="370" spans="1:13" ht="81" customHeight="1">
      <c r="A370" s="14"/>
      <c r="F370" s="7"/>
      <c r="H370" s="12"/>
      <c r="I370" s="5"/>
      <c r="J370" s="6"/>
      <c r="M370" s="16"/>
    </row>
    <row r="371" spans="1:13" ht="81" customHeight="1">
      <c r="A371" s="14"/>
      <c r="F371" s="7"/>
      <c r="H371" s="12"/>
      <c r="I371" s="5"/>
      <c r="J371" s="6"/>
      <c r="M371" s="16"/>
    </row>
    <row r="372" spans="1:13" ht="81" customHeight="1">
      <c r="A372" s="14"/>
      <c r="F372" s="7"/>
      <c r="H372" s="12"/>
      <c r="I372" s="5"/>
      <c r="J372" s="6"/>
      <c r="M372" s="16"/>
    </row>
    <row r="373" spans="1:13" ht="81" customHeight="1">
      <c r="A373" s="14"/>
      <c r="F373" s="7"/>
      <c r="H373" s="12"/>
      <c r="I373" s="5"/>
      <c r="J373" s="6"/>
      <c r="M373" s="16"/>
    </row>
    <row r="374" spans="1:13" ht="81" customHeight="1">
      <c r="A374" s="14"/>
      <c r="F374" s="7"/>
      <c r="H374" s="12"/>
      <c r="I374" s="5"/>
      <c r="J374" s="6"/>
      <c r="M374" s="16"/>
    </row>
    <row r="375" spans="1:13" ht="81" customHeight="1">
      <c r="A375" s="14"/>
      <c r="F375" s="7"/>
      <c r="H375" s="12"/>
      <c r="I375" s="5"/>
      <c r="J375" s="6"/>
      <c r="M375" s="16"/>
    </row>
    <row r="376" spans="1:13" ht="81" customHeight="1">
      <c r="A376" s="14"/>
      <c r="F376" s="7"/>
      <c r="H376" s="12"/>
      <c r="I376" s="5"/>
      <c r="J376" s="6"/>
      <c r="M376" s="16"/>
    </row>
    <row r="377" spans="1:13" ht="81" customHeight="1">
      <c r="A377" s="14"/>
      <c r="F377" s="7"/>
      <c r="H377" s="12"/>
      <c r="I377" s="5"/>
      <c r="J377" s="6"/>
      <c r="M377" s="16"/>
    </row>
    <row r="378" spans="1:13" ht="81" customHeight="1">
      <c r="A378" s="14"/>
      <c r="F378" s="7"/>
      <c r="H378" s="12"/>
      <c r="I378" s="5"/>
      <c r="J378" s="6"/>
      <c r="M378" s="16"/>
    </row>
    <row r="379" spans="1:13" ht="81" customHeight="1">
      <c r="A379" s="14"/>
      <c r="F379" s="7"/>
      <c r="H379" s="12"/>
      <c r="I379" s="5"/>
      <c r="J379" s="6"/>
      <c r="M379" s="16"/>
    </row>
    <row r="380" spans="1:13" ht="81" customHeight="1">
      <c r="A380" s="14"/>
      <c r="F380" s="7"/>
      <c r="H380" s="12"/>
      <c r="I380" s="5"/>
      <c r="J380" s="6"/>
      <c r="M380" s="16"/>
    </row>
    <row r="381" spans="1:13" ht="81" customHeight="1">
      <c r="A381" s="14"/>
      <c r="F381" s="7"/>
      <c r="H381" s="12"/>
      <c r="I381" s="5"/>
      <c r="J381" s="6"/>
      <c r="M381" s="16"/>
    </row>
    <row r="382" spans="1:13" ht="81" customHeight="1">
      <c r="A382" s="14"/>
      <c r="F382" s="7"/>
      <c r="H382" s="12"/>
      <c r="I382" s="5"/>
      <c r="J382" s="6"/>
      <c r="M382" s="16"/>
    </row>
    <row r="383" spans="1:13" ht="81" customHeight="1">
      <c r="A383" s="14"/>
      <c r="F383" s="7"/>
      <c r="H383" s="12"/>
      <c r="I383" s="5"/>
      <c r="J383" s="6"/>
      <c r="M383" s="16"/>
    </row>
    <row r="384" spans="1:13" ht="81" customHeight="1">
      <c r="A384" s="14"/>
      <c r="F384" s="7"/>
      <c r="H384" s="12"/>
      <c r="I384" s="5"/>
      <c r="J384" s="6"/>
      <c r="M384" s="16"/>
    </row>
    <row r="385" spans="1:13" ht="81" customHeight="1">
      <c r="A385" s="14"/>
      <c r="F385" s="7"/>
      <c r="H385" s="12"/>
      <c r="I385" s="5"/>
      <c r="J385" s="6"/>
      <c r="M385" s="16"/>
    </row>
    <row r="386" spans="1:13" ht="81" customHeight="1">
      <c r="A386" s="14"/>
      <c r="F386" s="7"/>
      <c r="H386" s="12"/>
      <c r="I386" s="5"/>
      <c r="J386" s="6"/>
      <c r="M386" s="16"/>
    </row>
    <row r="387" spans="1:13" ht="81" customHeight="1">
      <c r="A387" s="14"/>
      <c r="F387" s="7"/>
      <c r="H387" s="12"/>
      <c r="I387" s="5"/>
      <c r="J387" s="6"/>
      <c r="M387" s="16"/>
    </row>
    <row r="388" spans="1:13" ht="81" customHeight="1">
      <c r="A388" s="14"/>
      <c r="F388" s="7"/>
      <c r="H388" s="12"/>
      <c r="I388" s="5"/>
      <c r="J388" s="6"/>
      <c r="M388" s="16"/>
    </row>
    <row r="389" spans="1:13" ht="81" customHeight="1">
      <c r="A389" s="14"/>
      <c r="F389" s="7"/>
      <c r="H389" s="12"/>
      <c r="I389" s="5"/>
      <c r="J389" s="6"/>
      <c r="M389" s="16"/>
    </row>
    <row r="390" spans="1:13" ht="81" customHeight="1">
      <c r="A390" s="14"/>
      <c r="F390" s="7"/>
      <c r="H390" s="12"/>
      <c r="I390" s="5"/>
      <c r="J390" s="6"/>
      <c r="M390" s="16"/>
    </row>
    <row r="391" spans="1:13" ht="81" customHeight="1">
      <c r="A391" s="14"/>
      <c r="F391" s="7"/>
      <c r="H391" s="12"/>
      <c r="I391" s="5"/>
      <c r="J391" s="6"/>
      <c r="M391" s="16"/>
    </row>
    <row r="392" spans="1:13" ht="81" customHeight="1">
      <c r="A392" s="14"/>
      <c r="F392" s="7"/>
      <c r="H392" s="12"/>
      <c r="I392" s="5"/>
      <c r="J392" s="6"/>
      <c r="M392" s="16"/>
    </row>
    <row r="393" spans="1:13" ht="81" customHeight="1">
      <c r="A393" s="14"/>
      <c r="F393" s="7"/>
      <c r="H393" s="12"/>
      <c r="I393" s="5"/>
      <c r="J393" s="6"/>
      <c r="M393" s="16"/>
    </row>
    <row r="394" spans="1:13" ht="81" customHeight="1">
      <c r="A394" s="14"/>
      <c r="F394" s="7"/>
      <c r="H394" s="12"/>
      <c r="I394" s="5"/>
      <c r="J394" s="6"/>
      <c r="M394" s="16"/>
    </row>
    <row r="395" spans="1:13" ht="81" customHeight="1">
      <c r="A395" s="14"/>
      <c r="F395" s="7"/>
      <c r="H395" s="12"/>
      <c r="I395" s="5"/>
      <c r="J395" s="6"/>
      <c r="M395" s="16"/>
    </row>
    <row r="396" spans="1:13" ht="81" customHeight="1">
      <c r="A396" s="14"/>
      <c r="F396" s="7"/>
      <c r="H396" s="12"/>
      <c r="I396" s="5"/>
      <c r="J396" s="6"/>
      <c r="M396" s="16"/>
    </row>
    <row r="397" spans="1:13" ht="81" customHeight="1">
      <c r="A397" s="14"/>
      <c r="F397" s="7"/>
      <c r="H397" s="12"/>
      <c r="I397" s="5"/>
      <c r="J397" s="6"/>
      <c r="M397" s="16"/>
    </row>
    <row r="398" spans="1:13" ht="81" customHeight="1">
      <c r="A398" s="14"/>
      <c r="F398" s="7"/>
      <c r="H398" s="12"/>
      <c r="I398" s="5"/>
      <c r="J398" s="6"/>
      <c r="M398" s="16"/>
    </row>
    <row r="399" spans="1:13" ht="81" customHeight="1">
      <c r="A399" s="14"/>
      <c r="F399" s="7"/>
      <c r="H399" s="12"/>
      <c r="I399" s="5"/>
      <c r="J399" s="6"/>
      <c r="M399" s="16"/>
    </row>
    <row r="400" spans="1:13" ht="81" customHeight="1">
      <c r="A400" s="14"/>
      <c r="F400" s="7"/>
      <c r="H400" s="12"/>
      <c r="I400" s="5"/>
      <c r="J400" s="6"/>
      <c r="M400" s="16"/>
    </row>
    <row r="401" spans="1:13" ht="81" customHeight="1">
      <c r="A401" s="14"/>
      <c r="F401" s="7"/>
      <c r="H401" s="12"/>
      <c r="I401" s="5"/>
      <c r="J401" s="6"/>
      <c r="M401" s="16"/>
    </row>
    <row r="402" spans="1:13" ht="81" customHeight="1">
      <c r="A402" s="14"/>
      <c r="F402" s="7"/>
      <c r="H402" s="12"/>
      <c r="I402" s="5"/>
      <c r="J402" s="6"/>
      <c r="M402" s="16"/>
    </row>
    <row r="403" spans="1:13" ht="81" customHeight="1">
      <c r="A403" s="14"/>
      <c r="F403" s="7"/>
      <c r="H403" s="12"/>
      <c r="I403" s="5"/>
      <c r="J403" s="6"/>
      <c r="M403" s="16"/>
    </row>
    <row r="404" spans="1:13" ht="81" customHeight="1">
      <c r="A404" s="14"/>
      <c r="F404" s="7"/>
      <c r="H404" s="12"/>
      <c r="I404" s="5"/>
      <c r="J404" s="6"/>
      <c r="M404" s="16"/>
    </row>
    <row r="405" spans="1:13" ht="81" customHeight="1">
      <c r="A405" s="14"/>
      <c r="F405" s="7"/>
      <c r="H405" s="12"/>
      <c r="I405" s="5"/>
      <c r="J405" s="6"/>
      <c r="M405" s="16"/>
    </row>
    <row r="406" spans="1:13" ht="81" customHeight="1">
      <c r="A406" s="14"/>
      <c r="F406" s="7"/>
      <c r="H406" s="12"/>
      <c r="I406" s="5"/>
      <c r="J406" s="6"/>
      <c r="M406" s="16"/>
    </row>
    <row r="407" spans="1:13" ht="81" customHeight="1">
      <c r="A407" s="14"/>
      <c r="F407" s="7"/>
      <c r="H407" s="12"/>
      <c r="I407" s="5"/>
      <c r="J407" s="6"/>
      <c r="M407" s="16"/>
    </row>
    <row r="408" spans="1:13" ht="81" customHeight="1">
      <c r="A408" s="14"/>
      <c r="F408" s="7"/>
      <c r="H408" s="12"/>
      <c r="I408" s="5"/>
      <c r="J408" s="6"/>
      <c r="M408" s="16"/>
    </row>
    <row r="409" spans="1:13" ht="81" customHeight="1">
      <c r="A409" s="14"/>
      <c r="F409" s="7"/>
      <c r="H409" s="12"/>
      <c r="I409" s="5"/>
      <c r="J409" s="6"/>
      <c r="M409" s="16"/>
    </row>
    <row r="410" spans="1:13" ht="81" customHeight="1">
      <c r="A410" s="14"/>
      <c r="F410" s="7"/>
      <c r="H410" s="12"/>
      <c r="I410" s="5"/>
      <c r="J410" s="6"/>
      <c r="M410" s="16"/>
    </row>
    <row r="411" spans="1:13" ht="81" customHeight="1">
      <c r="A411" s="14"/>
      <c r="F411" s="7"/>
      <c r="H411" s="12"/>
      <c r="I411" s="5"/>
      <c r="J411" s="6"/>
      <c r="M411" s="16"/>
    </row>
    <row r="412" spans="1:13" ht="81" customHeight="1">
      <c r="A412" s="14"/>
      <c r="F412" s="7"/>
      <c r="H412" s="12"/>
      <c r="I412" s="5"/>
      <c r="J412" s="6"/>
      <c r="M412" s="16"/>
    </row>
    <row r="413" spans="1:13" ht="81" customHeight="1">
      <c r="A413" s="14"/>
      <c r="F413" s="7"/>
      <c r="H413" s="12"/>
      <c r="I413" s="5"/>
      <c r="J413" s="6"/>
      <c r="M413" s="16"/>
    </row>
    <row r="414" spans="1:13" ht="81" customHeight="1">
      <c r="A414" s="14"/>
      <c r="F414" s="7"/>
      <c r="H414" s="12"/>
      <c r="I414" s="5"/>
      <c r="J414" s="6"/>
      <c r="M414" s="16"/>
    </row>
    <row r="415" spans="1:13" ht="81" customHeight="1">
      <c r="A415" s="14"/>
      <c r="F415" s="7"/>
      <c r="H415" s="12"/>
      <c r="I415" s="5"/>
      <c r="J415" s="6"/>
      <c r="M415" s="16"/>
    </row>
    <row r="416" spans="1:13" ht="81" customHeight="1">
      <c r="A416" s="14"/>
      <c r="F416" s="7"/>
      <c r="H416" s="12"/>
      <c r="I416" s="5"/>
      <c r="J416" s="6"/>
      <c r="M416" s="16"/>
    </row>
    <row r="417" spans="1:13" ht="81" customHeight="1">
      <c r="A417" s="14"/>
      <c r="F417" s="7"/>
      <c r="H417" s="12"/>
      <c r="I417" s="5"/>
      <c r="J417" s="6"/>
      <c r="M417" s="16"/>
    </row>
    <row r="418" spans="1:13" ht="81" customHeight="1">
      <c r="A418" s="14"/>
      <c r="F418" s="7"/>
      <c r="H418" s="12"/>
      <c r="I418" s="5"/>
      <c r="J418" s="6"/>
      <c r="M418" s="16"/>
    </row>
    <row r="419" spans="1:13" ht="81" customHeight="1">
      <c r="A419" s="14"/>
      <c r="F419" s="7"/>
      <c r="H419" s="12"/>
      <c r="I419" s="5"/>
      <c r="J419" s="6"/>
      <c r="M419" s="16"/>
    </row>
    <row r="420" spans="1:13" ht="81" customHeight="1">
      <c r="A420" s="14"/>
      <c r="F420" s="7"/>
      <c r="H420" s="12"/>
      <c r="I420" s="5"/>
      <c r="J420" s="6"/>
      <c r="M420" s="16"/>
    </row>
    <row r="421" spans="1:13" ht="81" customHeight="1">
      <c r="A421" s="14"/>
      <c r="F421" s="7"/>
      <c r="H421" s="12"/>
      <c r="I421" s="5"/>
      <c r="J421" s="6"/>
      <c r="M421" s="16"/>
    </row>
    <row r="422" spans="1:13" ht="81" customHeight="1">
      <c r="A422" s="14"/>
      <c r="F422" s="7"/>
      <c r="H422" s="12"/>
      <c r="I422" s="5"/>
      <c r="J422" s="6"/>
      <c r="M422" s="16"/>
    </row>
    <row r="423" spans="1:13" ht="81" customHeight="1">
      <c r="A423" s="14"/>
      <c r="F423" s="7"/>
      <c r="H423" s="12"/>
      <c r="I423" s="5"/>
      <c r="J423" s="6"/>
      <c r="M423" s="16"/>
    </row>
    <row r="424" spans="1:13" ht="81" customHeight="1">
      <c r="A424" s="14"/>
      <c r="F424" s="7"/>
      <c r="H424" s="12"/>
      <c r="I424" s="5"/>
      <c r="J424" s="6"/>
      <c r="M424" s="16"/>
    </row>
    <row r="425" spans="1:13" ht="81" customHeight="1">
      <c r="A425" s="14"/>
      <c r="F425" s="7"/>
      <c r="H425" s="12"/>
      <c r="I425" s="5"/>
      <c r="J425" s="6"/>
      <c r="M425" s="16"/>
    </row>
    <row r="426" spans="1:13" ht="81" customHeight="1">
      <c r="A426" s="14"/>
      <c r="F426" s="7"/>
      <c r="H426" s="12"/>
      <c r="I426" s="5"/>
      <c r="J426" s="6"/>
      <c r="M426" s="16"/>
    </row>
    <row r="427" spans="1:13" ht="81" customHeight="1">
      <c r="A427" s="14"/>
      <c r="F427" s="7"/>
      <c r="H427" s="12"/>
      <c r="I427" s="5"/>
      <c r="J427" s="6"/>
      <c r="M427" s="16"/>
    </row>
    <row r="428" spans="1:13" ht="81" customHeight="1">
      <c r="A428" s="14"/>
      <c r="F428" s="7"/>
      <c r="H428" s="12"/>
      <c r="I428" s="5"/>
      <c r="J428" s="6"/>
      <c r="M428" s="16"/>
    </row>
    <row r="429" spans="1:13" ht="81" customHeight="1">
      <c r="A429" s="14"/>
      <c r="F429" s="7"/>
      <c r="H429" s="12"/>
      <c r="I429" s="5"/>
      <c r="J429" s="6"/>
      <c r="M429" s="16"/>
    </row>
    <row r="430" spans="1:13" ht="81" customHeight="1">
      <c r="A430" s="14"/>
      <c r="F430" s="7"/>
      <c r="H430" s="12"/>
      <c r="I430" s="5"/>
      <c r="J430" s="6"/>
      <c r="M430" s="16"/>
    </row>
    <row r="431" spans="1:13" ht="81" customHeight="1">
      <c r="A431" s="14"/>
      <c r="F431" s="7"/>
      <c r="H431" s="12"/>
      <c r="I431" s="5"/>
      <c r="J431" s="6"/>
      <c r="M431" s="16"/>
    </row>
    <row r="432" spans="1:13" ht="81" customHeight="1">
      <c r="A432" s="14"/>
      <c r="F432" s="7"/>
      <c r="H432" s="12"/>
      <c r="I432" s="5"/>
      <c r="J432" s="6"/>
      <c r="M432" s="16"/>
    </row>
    <row r="433" spans="1:13" ht="81" customHeight="1">
      <c r="A433" s="14"/>
      <c r="F433" s="7"/>
      <c r="H433" s="12"/>
      <c r="I433" s="5"/>
      <c r="J433" s="6"/>
      <c r="M433" s="16"/>
    </row>
    <row r="434" spans="1:13" ht="81" customHeight="1">
      <c r="A434" s="14"/>
      <c r="F434" s="7"/>
      <c r="H434" s="12"/>
      <c r="I434" s="5"/>
      <c r="J434" s="6"/>
      <c r="M434" s="16"/>
    </row>
    <row r="435" spans="1:13" ht="81" customHeight="1">
      <c r="A435" s="14"/>
      <c r="F435" s="7"/>
      <c r="H435" s="12"/>
      <c r="I435" s="5"/>
      <c r="J435" s="6"/>
      <c r="M435" s="16"/>
    </row>
    <row r="436" spans="1:13" ht="81" customHeight="1">
      <c r="A436" s="14"/>
      <c r="F436" s="7"/>
      <c r="H436" s="12"/>
      <c r="I436" s="5"/>
      <c r="J436" s="6"/>
      <c r="M436" s="16"/>
    </row>
    <row r="437" spans="1:13" ht="81" customHeight="1">
      <c r="A437" s="14"/>
      <c r="F437" s="7"/>
      <c r="H437" s="12"/>
      <c r="I437" s="5"/>
      <c r="J437" s="6"/>
      <c r="M437" s="16"/>
    </row>
    <row r="438" spans="1:13" ht="81" customHeight="1">
      <c r="A438" s="14"/>
      <c r="F438" s="7"/>
      <c r="H438" s="12"/>
      <c r="I438" s="5"/>
      <c r="J438" s="6"/>
      <c r="M438" s="16"/>
    </row>
    <row r="439" spans="1:13" ht="81" customHeight="1">
      <c r="A439" s="14"/>
      <c r="F439" s="7"/>
      <c r="H439" s="12"/>
      <c r="I439" s="5"/>
      <c r="J439" s="6"/>
      <c r="M439" s="16"/>
    </row>
    <row r="440" spans="1:13" ht="81" customHeight="1">
      <c r="A440" s="14"/>
      <c r="F440" s="7"/>
      <c r="H440" s="12"/>
      <c r="I440" s="5"/>
      <c r="J440" s="6"/>
      <c r="M440" s="16"/>
    </row>
    <row r="441" spans="1:13" ht="81" customHeight="1">
      <c r="A441" s="14"/>
      <c r="F441" s="7"/>
      <c r="H441" s="12"/>
      <c r="I441" s="5"/>
      <c r="J441" s="6"/>
      <c r="M441" s="16"/>
    </row>
    <row r="442" spans="1:13" ht="81" customHeight="1">
      <c r="A442" s="14"/>
      <c r="F442" s="7"/>
      <c r="H442" s="12"/>
      <c r="I442" s="5"/>
      <c r="J442" s="6"/>
      <c r="M442" s="16"/>
    </row>
    <row r="443" spans="1:13" ht="81" customHeight="1">
      <c r="A443" s="14"/>
      <c r="F443" s="7"/>
      <c r="H443" s="12"/>
      <c r="I443" s="5"/>
      <c r="J443" s="6"/>
      <c r="M443" s="16"/>
    </row>
    <row r="444" spans="1:13" ht="81" customHeight="1">
      <c r="A444" s="14"/>
      <c r="F444" s="7"/>
      <c r="H444" s="12"/>
      <c r="I444" s="5"/>
      <c r="J444" s="6"/>
      <c r="M444" s="16"/>
    </row>
    <row r="445" spans="1:13" ht="81" customHeight="1">
      <c r="A445" s="14"/>
      <c r="F445" s="7"/>
      <c r="H445" s="12"/>
      <c r="I445" s="5"/>
      <c r="J445" s="6"/>
      <c r="M445" s="16"/>
    </row>
    <row r="446" spans="1:13" ht="81" customHeight="1">
      <c r="A446" s="14"/>
      <c r="F446" s="7"/>
      <c r="H446" s="12"/>
      <c r="I446" s="5"/>
      <c r="J446" s="6"/>
      <c r="M446" s="16"/>
    </row>
    <row r="447" spans="1:13" ht="81" customHeight="1">
      <c r="A447" s="14"/>
      <c r="F447" s="7"/>
      <c r="H447" s="12"/>
      <c r="I447" s="5"/>
      <c r="J447" s="6"/>
      <c r="M447" s="16"/>
    </row>
    <row r="448" spans="1:13" ht="81" customHeight="1">
      <c r="A448" s="14"/>
      <c r="F448" s="7"/>
      <c r="H448" s="12"/>
      <c r="I448" s="5"/>
      <c r="J448" s="6"/>
      <c r="M448" s="16"/>
    </row>
    <row r="449" spans="1:13" ht="81" customHeight="1">
      <c r="A449" s="14"/>
      <c r="F449" s="7"/>
      <c r="H449" s="12"/>
      <c r="I449" s="5"/>
      <c r="J449" s="6"/>
      <c r="M449" s="16"/>
    </row>
    <row r="450" spans="1:13" ht="81" customHeight="1">
      <c r="A450" s="14"/>
      <c r="F450" s="7"/>
      <c r="H450" s="12"/>
      <c r="I450" s="5"/>
      <c r="J450" s="6"/>
      <c r="M450" s="16"/>
    </row>
    <row r="451" spans="1:13" ht="81" customHeight="1">
      <c r="A451" s="14"/>
      <c r="F451" s="7"/>
      <c r="H451" s="12"/>
      <c r="I451" s="5"/>
      <c r="J451" s="6"/>
      <c r="M451" s="16"/>
    </row>
    <row r="452" spans="1:13" ht="81" customHeight="1">
      <c r="A452" s="14"/>
      <c r="F452" s="7"/>
      <c r="H452" s="12"/>
      <c r="I452" s="5"/>
      <c r="J452" s="6"/>
      <c r="M452" s="16"/>
    </row>
    <row r="453" spans="1:13" ht="81" customHeight="1">
      <c r="A453" s="14"/>
      <c r="F453" s="7"/>
      <c r="H453" s="12"/>
      <c r="I453" s="5"/>
      <c r="J453" s="6"/>
      <c r="M453" s="16"/>
    </row>
    <row r="454" spans="1:13" ht="81" customHeight="1">
      <c r="A454" s="14"/>
      <c r="F454" s="7"/>
      <c r="H454" s="12"/>
      <c r="I454" s="5"/>
      <c r="J454" s="6"/>
      <c r="M454" s="16"/>
    </row>
    <row r="455" spans="1:13" ht="81" customHeight="1">
      <c r="A455" s="14"/>
      <c r="F455" s="7"/>
      <c r="H455" s="12"/>
      <c r="I455" s="5"/>
      <c r="J455" s="6"/>
      <c r="M455" s="16"/>
    </row>
    <row r="456" spans="1:13" ht="81" customHeight="1">
      <c r="A456" s="14"/>
      <c r="F456" s="7"/>
      <c r="H456" s="12"/>
      <c r="I456" s="5"/>
      <c r="J456" s="6"/>
      <c r="M456" s="16"/>
    </row>
    <row r="457" spans="1:13" ht="81" customHeight="1">
      <c r="A457" s="14"/>
      <c r="F457" s="7"/>
      <c r="H457" s="12"/>
      <c r="I457" s="5"/>
      <c r="J457" s="6"/>
      <c r="M457" s="16"/>
    </row>
    <row r="458" spans="1:13" ht="81" customHeight="1">
      <c r="A458" s="14"/>
      <c r="F458" s="7"/>
      <c r="H458" s="12"/>
      <c r="I458" s="5"/>
      <c r="J458" s="6"/>
      <c r="M458" s="16"/>
    </row>
    <row r="459" spans="1:13" ht="81" customHeight="1">
      <c r="A459" s="14"/>
      <c r="F459" s="7"/>
      <c r="H459" s="12"/>
      <c r="I459" s="5"/>
      <c r="J459" s="6"/>
      <c r="M459" s="16"/>
    </row>
    <row r="460" spans="1:13" ht="81" customHeight="1">
      <c r="A460" s="14"/>
      <c r="F460" s="7"/>
      <c r="H460" s="12"/>
      <c r="I460" s="5"/>
      <c r="J460" s="6"/>
      <c r="M460" s="16"/>
    </row>
    <row r="461" spans="1:13" ht="81" customHeight="1">
      <c r="A461" s="14"/>
      <c r="F461" s="7"/>
      <c r="H461" s="12"/>
      <c r="I461" s="5"/>
      <c r="J461" s="6"/>
      <c r="M461" s="16"/>
    </row>
    <row r="462" spans="1:13" ht="81" customHeight="1">
      <c r="A462" s="14"/>
      <c r="F462" s="7"/>
      <c r="H462" s="12"/>
      <c r="I462" s="5"/>
      <c r="J462" s="6"/>
      <c r="M462" s="16"/>
    </row>
    <row r="463" spans="1:13" ht="81" customHeight="1">
      <c r="A463" s="14"/>
      <c r="F463" s="7"/>
      <c r="H463" s="12"/>
      <c r="I463" s="5"/>
      <c r="J463" s="6"/>
      <c r="M463" s="16"/>
    </row>
    <row r="464" spans="1:13" ht="81" customHeight="1">
      <c r="A464" s="14"/>
      <c r="F464" s="7"/>
      <c r="H464" s="12"/>
      <c r="I464" s="5"/>
      <c r="J464" s="6"/>
      <c r="M464" s="16"/>
    </row>
    <row r="465" spans="1:13" ht="81" customHeight="1">
      <c r="A465" s="14"/>
      <c r="F465" s="7"/>
      <c r="H465" s="12"/>
      <c r="I465" s="5"/>
      <c r="J465" s="6"/>
      <c r="M465" s="16"/>
    </row>
    <row r="466" spans="1:13" ht="81" customHeight="1">
      <c r="A466" s="14"/>
      <c r="F466" s="7"/>
      <c r="H466" s="12"/>
      <c r="I466" s="5"/>
      <c r="J466" s="6"/>
      <c r="M466" s="16"/>
    </row>
    <row r="467" spans="1:13" ht="81" customHeight="1">
      <c r="A467" s="14"/>
      <c r="F467" s="7"/>
      <c r="H467" s="12"/>
      <c r="I467" s="5"/>
      <c r="J467" s="6"/>
      <c r="M467" s="16"/>
    </row>
    <row r="468" spans="1:13" ht="81" customHeight="1">
      <c r="A468" s="14"/>
      <c r="F468" s="7"/>
      <c r="H468" s="12"/>
      <c r="I468" s="5"/>
      <c r="J468" s="6"/>
      <c r="M468" s="16"/>
    </row>
    <row r="469" spans="1:13" ht="81" customHeight="1">
      <c r="A469" s="14"/>
      <c r="F469" s="7"/>
      <c r="H469" s="12"/>
      <c r="I469" s="5"/>
      <c r="J469" s="6"/>
      <c r="M469" s="16"/>
    </row>
    <row r="470" spans="1:13" ht="81" customHeight="1">
      <c r="A470" s="14"/>
      <c r="F470" s="7"/>
      <c r="H470" s="12"/>
      <c r="I470" s="5"/>
      <c r="J470" s="6"/>
      <c r="M470" s="16"/>
    </row>
    <row r="471" spans="1:13" ht="81" customHeight="1">
      <c r="A471" s="14"/>
      <c r="F471" s="7"/>
      <c r="H471" s="12"/>
      <c r="I471" s="5"/>
      <c r="J471" s="6"/>
      <c r="M471" s="16"/>
    </row>
    <row r="472" spans="1:13" ht="81" customHeight="1">
      <c r="A472" s="14"/>
      <c r="F472" s="7"/>
      <c r="H472" s="12"/>
      <c r="I472" s="5"/>
      <c r="J472" s="6"/>
      <c r="M472" s="16"/>
    </row>
    <row r="473" spans="1:13" ht="81" customHeight="1">
      <c r="A473" s="14"/>
      <c r="F473" s="7"/>
      <c r="H473" s="12"/>
      <c r="I473" s="5"/>
      <c r="J473" s="6"/>
      <c r="M473" s="16"/>
    </row>
    <row r="474" spans="1:13" ht="81" customHeight="1">
      <c r="A474" s="14"/>
      <c r="F474" s="7"/>
      <c r="H474" s="12"/>
      <c r="I474" s="5"/>
      <c r="J474" s="6"/>
      <c r="M474" s="16"/>
    </row>
    <row r="475" spans="1:13" ht="81" customHeight="1">
      <c r="A475" s="14"/>
      <c r="F475" s="7"/>
      <c r="H475" s="12"/>
      <c r="I475" s="5"/>
      <c r="J475" s="6"/>
      <c r="M475" s="16"/>
    </row>
    <row r="476" spans="1:13" ht="81" customHeight="1">
      <c r="A476" s="14"/>
      <c r="F476" s="7"/>
      <c r="H476" s="12"/>
      <c r="I476" s="5"/>
      <c r="J476" s="6"/>
      <c r="M476" s="16"/>
    </row>
    <row r="477" spans="1:13" ht="81" customHeight="1">
      <c r="A477" s="14"/>
      <c r="F477" s="7"/>
      <c r="H477" s="12"/>
      <c r="I477" s="5"/>
      <c r="J477" s="6"/>
      <c r="M477" s="16"/>
    </row>
    <row r="478" spans="1:13" ht="81" customHeight="1">
      <c r="A478" s="14"/>
      <c r="F478" s="7"/>
      <c r="H478" s="12"/>
      <c r="I478" s="5"/>
      <c r="J478" s="6"/>
      <c r="M478" s="16"/>
    </row>
    <row r="479" spans="1:13" ht="81" customHeight="1">
      <c r="A479" s="14"/>
      <c r="F479" s="7"/>
      <c r="H479" s="12"/>
      <c r="I479" s="5"/>
      <c r="J479" s="6"/>
      <c r="M479" s="16"/>
    </row>
    <row r="480" spans="1:13" ht="81" customHeight="1">
      <c r="A480" s="14"/>
      <c r="F480" s="7"/>
      <c r="H480" s="12"/>
      <c r="I480" s="5"/>
      <c r="J480" s="6"/>
      <c r="M480" s="16"/>
    </row>
    <row r="481" spans="1:13" ht="81" customHeight="1">
      <c r="A481" s="14"/>
      <c r="F481" s="7"/>
      <c r="H481" s="12"/>
      <c r="I481" s="5"/>
      <c r="J481" s="6"/>
      <c r="M481" s="16"/>
    </row>
    <row r="482" spans="1:13" ht="81" customHeight="1">
      <c r="A482" s="14"/>
      <c r="F482" s="7"/>
      <c r="H482" s="12"/>
      <c r="I482" s="5"/>
      <c r="J482" s="6"/>
      <c r="M482" s="16"/>
    </row>
    <row r="483" spans="1:13" ht="81" customHeight="1">
      <c r="A483" s="14"/>
      <c r="F483" s="7"/>
      <c r="H483" s="12"/>
      <c r="I483" s="5"/>
      <c r="J483" s="6"/>
      <c r="M483" s="16"/>
    </row>
    <row r="484" spans="1:13" ht="81" customHeight="1">
      <c r="A484" s="14"/>
      <c r="F484" s="7"/>
      <c r="H484" s="12"/>
      <c r="I484" s="5"/>
      <c r="J484" s="6"/>
      <c r="M484" s="16"/>
    </row>
    <row r="485" spans="1:13" ht="81" customHeight="1">
      <c r="A485" s="14"/>
      <c r="F485" s="7"/>
      <c r="H485" s="12"/>
      <c r="I485" s="5"/>
      <c r="J485" s="6"/>
      <c r="M485" s="16"/>
    </row>
    <row r="486" spans="1:13" ht="81" customHeight="1">
      <c r="A486" s="14"/>
      <c r="F486" s="7"/>
      <c r="H486" s="12"/>
      <c r="I486" s="5"/>
      <c r="J486" s="6"/>
      <c r="M486" s="16"/>
    </row>
    <row r="487" spans="1:13" ht="81" customHeight="1">
      <c r="A487" s="14"/>
      <c r="F487" s="7"/>
      <c r="H487" s="12"/>
      <c r="I487" s="5"/>
      <c r="J487" s="6"/>
      <c r="M487" s="16"/>
    </row>
    <row r="488" spans="1:13" ht="81" customHeight="1">
      <c r="A488" s="14"/>
      <c r="F488" s="7"/>
      <c r="H488" s="12"/>
      <c r="I488" s="5"/>
      <c r="J488" s="6"/>
      <c r="M488" s="16"/>
    </row>
    <row r="489" spans="1:13" ht="81" customHeight="1">
      <c r="A489" s="14"/>
      <c r="F489" s="7"/>
      <c r="H489" s="12"/>
      <c r="I489" s="5"/>
      <c r="J489" s="6"/>
      <c r="M489" s="16"/>
    </row>
    <row r="490" spans="1:13" ht="81" customHeight="1">
      <c r="A490" s="14"/>
      <c r="F490" s="7"/>
      <c r="H490" s="12"/>
      <c r="I490" s="5"/>
      <c r="J490" s="6"/>
      <c r="M490" s="16"/>
    </row>
    <row r="491" spans="1:13" ht="81" customHeight="1">
      <c r="A491" s="14"/>
      <c r="F491" s="7"/>
      <c r="H491" s="12"/>
      <c r="I491" s="5"/>
      <c r="J491" s="6"/>
      <c r="M491" s="16"/>
    </row>
    <row r="492" spans="1:13" ht="81" customHeight="1">
      <c r="A492" s="14"/>
      <c r="F492" s="7"/>
      <c r="H492" s="12"/>
      <c r="I492" s="5"/>
      <c r="J492" s="6"/>
      <c r="M492" s="16"/>
    </row>
    <row r="493" spans="1:13" ht="81" customHeight="1">
      <c r="A493" s="14"/>
      <c r="F493" s="7"/>
      <c r="H493" s="12"/>
      <c r="I493" s="5"/>
      <c r="J493" s="6"/>
      <c r="M493" s="16"/>
    </row>
    <row r="494" spans="1:13" ht="81" customHeight="1">
      <c r="A494" s="14"/>
      <c r="F494" s="7"/>
      <c r="H494" s="12"/>
      <c r="I494" s="5"/>
      <c r="J494" s="6"/>
      <c r="M494" s="16"/>
    </row>
    <row r="495" spans="1:13" ht="81" customHeight="1">
      <c r="A495" s="14"/>
      <c r="F495" s="7"/>
      <c r="H495" s="12"/>
      <c r="I495" s="5"/>
      <c r="J495" s="6"/>
      <c r="M495" s="16"/>
    </row>
    <row r="496" spans="1:13" ht="81" customHeight="1">
      <c r="A496" s="14"/>
      <c r="F496" s="7"/>
      <c r="H496" s="12"/>
      <c r="I496" s="5"/>
      <c r="J496" s="6"/>
      <c r="M496" s="16"/>
    </row>
    <row r="497" spans="1:13" ht="81" customHeight="1">
      <c r="A497" s="14"/>
      <c r="F497" s="7"/>
      <c r="H497" s="12"/>
      <c r="I497" s="5"/>
      <c r="J497" s="6"/>
      <c r="M497" s="16"/>
    </row>
    <row r="498" spans="1:13" ht="81" customHeight="1">
      <c r="A498" s="14"/>
      <c r="F498" s="7"/>
      <c r="H498" s="12"/>
      <c r="I498" s="5"/>
      <c r="J498" s="6"/>
      <c r="M498" s="16"/>
    </row>
    <row r="499" spans="1:13" ht="81" customHeight="1">
      <c r="A499" s="14"/>
      <c r="F499" s="7"/>
      <c r="H499" s="12"/>
      <c r="I499" s="5"/>
      <c r="J499" s="6"/>
      <c r="M499" s="16"/>
    </row>
    <row r="500" spans="1:13" ht="81" customHeight="1">
      <c r="A500" s="14"/>
      <c r="F500" s="7"/>
      <c r="H500" s="12"/>
      <c r="I500" s="5"/>
      <c r="J500" s="6"/>
      <c r="M500" s="16"/>
    </row>
    <row r="501" spans="1:13" ht="81" customHeight="1">
      <c r="A501" s="14"/>
      <c r="F501" s="7"/>
      <c r="H501" s="12"/>
      <c r="I501" s="5"/>
      <c r="J501" s="6"/>
      <c r="M501" s="16"/>
    </row>
    <row r="502" spans="1:13" ht="81" customHeight="1">
      <c r="A502" s="14"/>
      <c r="F502" s="7"/>
      <c r="H502" s="12"/>
      <c r="I502" s="5"/>
      <c r="J502" s="6"/>
      <c r="M502" s="16"/>
    </row>
    <row r="503" spans="1:13" ht="81" customHeight="1">
      <c r="A503" s="14"/>
      <c r="F503" s="7"/>
      <c r="H503" s="12"/>
      <c r="I503" s="5"/>
      <c r="J503" s="6"/>
      <c r="M503" s="16"/>
    </row>
    <row r="504" spans="1:13" ht="81" customHeight="1">
      <c r="A504" s="14"/>
      <c r="F504" s="7"/>
      <c r="H504" s="12"/>
      <c r="I504" s="5"/>
      <c r="J504" s="6"/>
      <c r="M504" s="16"/>
    </row>
    <row r="505" spans="1:13" ht="81" customHeight="1">
      <c r="A505" s="14"/>
      <c r="F505" s="7"/>
      <c r="H505" s="12"/>
      <c r="I505" s="5"/>
      <c r="J505" s="6"/>
      <c r="M505" s="16"/>
    </row>
    <row r="506" spans="1:13" ht="81" customHeight="1">
      <c r="A506" s="14"/>
      <c r="F506" s="7"/>
      <c r="H506" s="12"/>
      <c r="I506" s="5"/>
      <c r="J506" s="6"/>
      <c r="M506" s="16"/>
    </row>
    <row r="507" spans="1:13" ht="81" customHeight="1">
      <c r="A507" s="14"/>
      <c r="F507" s="7"/>
      <c r="H507" s="12"/>
      <c r="I507" s="5"/>
      <c r="J507" s="6"/>
      <c r="M507" s="16"/>
    </row>
    <row r="508" spans="1:13" ht="81" customHeight="1">
      <c r="A508" s="14"/>
      <c r="F508" s="7"/>
      <c r="H508" s="12"/>
      <c r="I508" s="5"/>
      <c r="J508" s="6"/>
      <c r="M508" s="16"/>
    </row>
    <row r="509" spans="1:13" ht="81" customHeight="1">
      <c r="A509" s="14"/>
      <c r="F509" s="7"/>
      <c r="H509" s="12"/>
      <c r="I509" s="5"/>
      <c r="J509" s="6"/>
      <c r="M509" s="16"/>
    </row>
    <row r="510" spans="1:13" ht="81" customHeight="1">
      <c r="A510" s="14"/>
      <c r="F510" s="7"/>
      <c r="H510" s="12"/>
      <c r="I510" s="5"/>
      <c r="J510" s="6"/>
      <c r="M510" s="16"/>
    </row>
    <row r="511" spans="1:13" ht="81" customHeight="1">
      <c r="A511" s="14"/>
      <c r="F511" s="7"/>
      <c r="H511" s="12"/>
      <c r="I511" s="5"/>
      <c r="J511" s="6"/>
      <c r="M511" s="16"/>
    </row>
    <row r="512" spans="1:13" ht="81" customHeight="1">
      <c r="A512" s="14"/>
      <c r="F512" s="7"/>
      <c r="H512" s="12"/>
      <c r="I512" s="5"/>
      <c r="J512" s="6"/>
      <c r="M512" s="16"/>
    </row>
    <row r="513" spans="1:13" ht="81" customHeight="1">
      <c r="A513" s="14"/>
      <c r="F513" s="7"/>
      <c r="H513" s="12"/>
      <c r="I513" s="5"/>
      <c r="J513" s="6"/>
      <c r="M513" s="16"/>
    </row>
    <row r="514" spans="1:13" ht="81" customHeight="1">
      <c r="A514" s="14"/>
      <c r="F514" s="7"/>
      <c r="H514" s="12"/>
      <c r="I514" s="5"/>
      <c r="J514" s="6"/>
      <c r="M514" s="16"/>
    </row>
    <row r="515" spans="1:13" ht="81" customHeight="1">
      <c r="A515" s="14"/>
      <c r="F515" s="7"/>
      <c r="H515" s="12"/>
      <c r="I515" s="5"/>
      <c r="J515" s="6"/>
      <c r="M515" s="16"/>
    </row>
    <row r="516" spans="1:13" ht="81" customHeight="1">
      <c r="A516" s="14"/>
      <c r="F516" s="7"/>
      <c r="H516" s="12"/>
      <c r="I516" s="5"/>
      <c r="J516" s="6"/>
      <c r="M516" s="16"/>
    </row>
    <row r="517" spans="1:13" ht="81" customHeight="1">
      <c r="A517" s="14"/>
      <c r="F517" s="7"/>
      <c r="H517" s="12"/>
      <c r="I517" s="5"/>
      <c r="J517" s="6"/>
      <c r="M517" s="16"/>
    </row>
    <row r="518" spans="1:13" ht="81" customHeight="1">
      <c r="A518" s="14"/>
      <c r="F518" s="7"/>
      <c r="H518" s="12"/>
      <c r="I518" s="5"/>
      <c r="J518" s="6"/>
      <c r="M518" s="16"/>
    </row>
    <row r="519" spans="1:13" ht="81" customHeight="1">
      <c r="A519" s="14"/>
      <c r="F519" s="7"/>
      <c r="H519" s="12"/>
      <c r="I519" s="5"/>
      <c r="J519" s="6"/>
      <c r="M519" s="16"/>
    </row>
    <row r="520" spans="1:13" ht="81" customHeight="1">
      <c r="A520" s="14"/>
      <c r="F520" s="7"/>
      <c r="H520" s="12"/>
      <c r="I520" s="5"/>
      <c r="J520" s="6"/>
      <c r="M520" s="16"/>
    </row>
    <row r="521" spans="1:13" ht="81" customHeight="1">
      <c r="A521" s="14"/>
      <c r="F521" s="7"/>
      <c r="H521" s="12"/>
      <c r="I521" s="5"/>
      <c r="J521" s="6"/>
      <c r="M521" s="16"/>
    </row>
    <row r="522" spans="1:13" ht="81" customHeight="1">
      <c r="A522" s="14"/>
      <c r="F522" s="7"/>
      <c r="H522" s="12"/>
      <c r="I522" s="5"/>
      <c r="J522" s="6"/>
      <c r="M522" s="16"/>
    </row>
    <row r="523" spans="1:13" ht="81" customHeight="1">
      <c r="A523" s="14"/>
      <c r="F523" s="7"/>
      <c r="H523" s="12"/>
      <c r="I523" s="5"/>
      <c r="J523" s="6"/>
      <c r="M523" s="16"/>
    </row>
    <row r="524" spans="1:13" ht="81" customHeight="1">
      <c r="A524" s="14"/>
      <c r="F524" s="7"/>
      <c r="H524" s="12"/>
      <c r="I524" s="5"/>
      <c r="J524" s="6"/>
      <c r="M524" s="16"/>
    </row>
    <row r="525" spans="1:13" ht="81" customHeight="1">
      <c r="A525" s="14"/>
      <c r="F525" s="7"/>
      <c r="H525" s="12"/>
      <c r="I525" s="5"/>
      <c r="J525" s="6"/>
      <c r="M525" s="16"/>
    </row>
    <row r="526" spans="1:13" ht="81" customHeight="1">
      <c r="A526" s="14"/>
      <c r="F526" s="7"/>
      <c r="H526" s="12"/>
      <c r="I526" s="5"/>
      <c r="J526" s="6"/>
      <c r="M526" s="16"/>
    </row>
    <row r="527" spans="1:13" ht="81" customHeight="1">
      <c r="A527" s="14"/>
      <c r="F527" s="7"/>
      <c r="H527" s="12"/>
      <c r="I527" s="5"/>
      <c r="J527" s="6"/>
      <c r="M527" s="16"/>
    </row>
    <row r="528" spans="1:13" ht="81" customHeight="1">
      <c r="A528" s="14"/>
      <c r="F528" s="7"/>
      <c r="H528" s="12"/>
      <c r="I528" s="5"/>
      <c r="J528" s="6"/>
      <c r="M528" s="16"/>
    </row>
    <row r="529" spans="1:13" ht="81" customHeight="1">
      <c r="A529" s="14"/>
      <c r="F529" s="7"/>
      <c r="H529" s="12"/>
      <c r="I529" s="5"/>
      <c r="J529" s="6"/>
      <c r="M529" s="16"/>
    </row>
    <row r="530" spans="1:13" ht="81" customHeight="1">
      <c r="A530" s="14"/>
      <c r="F530" s="7"/>
      <c r="H530" s="12"/>
      <c r="I530" s="5"/>
      <c r="J530" s="6"/>
      <c r="M530" s="16"/>
    </row>
    <row r="531" spans="1:13" ht="81" customHeight="1">
      <c r="A531" s="14"/>
      <c r="F531" s="7"/>
      <c r="H531" s="12"/>
      <c r="I531" s="5"/>
      <c r="J531" s="6"/>
      <c r="M531" s="16"/>
    </row>
    <row r="532" spans="1:13" ht="81" customHeight="1">
      <c r="A532" s="14"/>
      <c r="F532" s="7"/>
      <c r="H532" s="12"/>
      <c r="I532" s="5"/>
      <c r="J532" s="6"/>
      <c r="M532" s="16"/>
    </row>
    <row r="533" spans="1:13" ht="81" customHeight="1">
      <c r="A533" s="14"/>
      <c r="F533" s="7"/>
      <c r="H533" s="12"/>
      <c r="I533" s="5"/>
      <c r="J533" s="6"/>
      <c r="M533" s="16"/>
    </row>
    <row r="534" spans="1:13" ht="81" customHeight="1">
      <c r="A534" s="14"/>
      <c r="F534" s="7"/>
      <c r="H534" s="12"/>
      <c r="I534" s="5"/>
      <c r="J534" s="6"/>
      <c r="M534" s="16"/>
    </row>
    <row r="535" spans="1:13" ht="81" customHeight="1">
      <c r="A535" s="14"/>
      <c r="F535" s="7"/>
      <c r="H535" s="12"/>
      <c r="I535" s="5"/>
      <c r="J535" s="6"/>
      <c r="M535" s="16"/>
    </row>
    <row r="536" spans="1:13" ht="81" customHeight="1">
      <c r="A536" s="14"/>
      <c r="F536" s="7"/>
      <c r="H536" s="12"/>
      <c r="I536" s="5"/>
      <c r="J536" s="6"/>
      <c r="M536" s="16"/>
    </row>
    <row r="537" spans="1:13" ht="81" customHeight="1">
      <c r="A537" s="14"/>
      <c r="F537" s="7"/>
      <c r="H537" s="12"/>
      <c r="I537" s="5"/>
      <c r="J537" s="6"/>
      <c r="M537" s="16"/>
    </row>
    <row r="538" spans="1:13" ht="81" customHeight="1">
      <c r="A538" s="14"/>
      <c r="F538" s="7"/>
      <c r="H538" s="12"/>
      <c r="I538" s="5"/>
      <c r="J538" s="6"/>
      <c r="M538" s="16"/>
    </row>
    <row r="539" spans="1:13" ht="81" customHeight="1">
      <c r="A539" s="14"/>
      <c r="F539" s="7"/>
      <c r="H539" s="12"/>
      <c r="I539" s="5"/>
      <c r="J539" s="6"/>
      <c r="M539" s="16"/>
    </row>
    <row r="540" spans="1:13" ht="81" customHeight="1">
      <c r="A540" s="14"/>
      <c r="F540" s="7"/>
      <c r="H540" s="12"/>
      <c r="I540" s="5"/>
      <c r="J540" s="6"/>
      <c r="M540" s="16"/>
    </row>
    <row r="541" spans="1:13" ht="81" customHeight="1">
      <c r="A541" s="14"/>
      <c r="F541" s="7"/>
      <c r="H541" s="12"/>
      <c r="I541" s="5"/>
      <c r="J541" s="6"/>
      <c r="M541" s="16"/>
    </row>
    <row r="542" spans="1:13" ht="81" customHeight="1">
      <c r="A542" s="14"/>
      <c r="F542" s="7"/>
      <c r="H542" s="12"/>
      <c r="I542" s="5"/>
      <c r="J542" s="6"/>
      <c r="M542" s="16"/>
    </row>
    <row r="543" spans="1:13" ht="81" customHeight="1">
      <c r="A543" s="14"/>
      <c r="F543" s="7"/>
      <c r="H543" s="12"/>
      <c r="I543" s="5"/>
      <c r="J543" s="6"/>
      <c r="M543" s="16"/>
    </row>
    <row r="544" spans="1:13" ht="81" customHeight="1">
      <c r="A544" s="14"/>
      <c r="F544" s="7"/>
      <c r="H544" s="12"/>
      <c r="I544" s="5"/>
      <c r="J544" s="6"/>
      <c r="M544" s="16"/>
    </row>
    <row r="545" spans="1:13" ht="81" customHeight="1">
      <c r="A545" s="14"/>
      <c r="F545" s="7"/>
      <c r="H545" s="12"/>
      <c r="I545" s="5"/>
      <c r="J545" s="6"/>
      <c r="M545" s="16"/>
    </row>
    <row r="546" spans="1:13" ht="81" customHeight="1">
      <c r="A546" s="14"/>
      <c r="F546" s="7"/>
      <c r="H546" s="12"/>
      <c r="I546" s="5"/>
      <c r="J546" s="6"/>
      <c r="M546" s="16"/>
    </row>
    <row r="547" spans="1:13" ht="81" customHeight="1">
      <c r="A547" s="14"/>
      <c r="F547" s="7"/>
      <c r="H547" s="12"/>
      <c r="I547" s="5"/>
      <c r="J547" s="6"/>
      <c r="M547" s="16"/>
    </row>
    <row r="548" spans="1:13" ht="81" customHeight="1">
      <c r="A548" s="14"/>
      <c r="F548" s="7"/>
      <c r="H548" s="12"/>
      <c r="I548" s="5"/>
      <c r="J548" s="6"/>
      <c r="M548" s="16"/>
    </row>
    <row r="549" spans="1:13" ht="81" customHeight="1">
      <c r="A549" s="14"/>
      <c r="F549" s="7"/>
      <c r="H549" s="12"/>
      <c r="I549" s="5"/>
      <c r="J549" s="6"/>
      <c r="M549" s="16"/>
    </row>
    <row r="550" spans="1:13" ht="81" customHeight="1">
      <c r="A550" s="14"/>
      <c r="F550" s="7"/>
      <c r="H550" s="12"/>
      <c r="I550" s="5"/>
      <c r="J550" s="6"/>
      <c r="M550" s="16"/>
    </row>
    <row r="551" spans="1:13" ht="81" customHeight="1">
      <c r="A551" s="14"/>
      <c r="F551" s="7"/>
      <c r="H551" s="12"/>
      <c r="I551" s="5"/>
      <c r="J551" s="6"/>
      <c r="M551" s="16"/>
    </row>
    <row r="552" spans="1:13" ht="81" customHeight="1">
      <c r="A552" s="14"/>
      <c r="F552" s="7"/>
      <c r="H552" s="12"/>
      <c r="I552" s="5"/>
      <c r="J552" s="6"/>
      <c r="M552" s="16"/>
    </row>
    <row r="553" spans="1:13" ht="81" customHeight="1">
      <c r="A553" s="14"/>
      <c r="F553" s="7"/>
      <c r="H553" s="12"/>
      <c r="I553" s="5"/>
      <c r="J553" s="6"/>
      <c r="M553" s="16"/>
    </row>
    <row r="554" spans="1:13" ht="81" customHeight="1">
      <c r="A554" s="14"/>
      <c r="F554" s="7"/>
      <c r="H554" s="12"/>
      <c r="I554" s="5"/>
      <c r="J554" s="6"/>
      <c r="M554" s="16"/>
    </row>
    <row r="555" spans="1:13" ht="81" customHeight="1">
      <c r="A555" s="14"/>
      <c r="F555" s="7"/>
      <c r="H555" s="12"/>
      <c r="I555" s="5"/>
      <c r="J555" s="6"/>
      <c r="M555" s="16"/>
    </row>
    <row r="556" spans="1:13" ht="81" customHeight="1">
      <c r="A556" s="14"/>
      <c r="F556" s="7"/>
      <c r="H556" s="12"/>
      <c r="I556" s="5"/>
      <c r="J556" s="6"/>
      <c r="M556" s="16"/>
    </row>
    <row r="557" spans="1:13" ht="81" customHeight="1">
      <c r="A557" s="14"/>
      <c r="F557" s="7"/>
      <c r="H557" s="12"/>
      <c r="I557" s="5"/>
      <c r="J557" s="6"/>
      <c r="M557" s="16"/>
    </row>
    <row r="558" spans="1:13" ht="81" customHeight="1">
      <c r="A558" s="14"/>
      <c r="F558" s="7"/>
      <c r="H558" s="12"/>
      <c r="I558" s="5"/>
      <c r="J558" s="6"/>
      <c r="M558" s="16"/>
    </row>
    <row r="559" spans="1:13" ht="81" customHeight="1">
      <c r="A559" s="14"/>
      <c r="F559" s="7"/>
      <c r="H559" s="12"/>
      <c r="I559" s="5"/>
      <c r="J559" s="6"/>
      <c r="M559" s="16"/>
    </row>
    <row r="560" spans="1:13" ht="81" customHeight="1">
      <c r="A560" s="14"/>
      <c r="F560" s="7"/>
      <c r="H560" s="12"/>
      <c r="I560" s="5"/>
      <c r="J560" s="6"/>
      <c r="M560" s="16"/>
    </row>
    <row r="561" spans="1:13" ht="81" customHeight="1">
      <c r="A561" s="14"/>
      <c r="F561" s="7"/>
      <c r="H561" s="12"/>
      <c r="I561" s="5"/>
      <c r="J561" s="6"/>
      <c r="M561" s="16"/>
    </row>
    <row r="562" spans="1:13" ht="81" customHeight="1">
      <c r="A562" s="14"/>
      <c r="F562" s="7"/>
      <c r="H562" s="12"/>
      <c r="I562" s="5"/>
      <c r="J562" s="6"/>
      <c r="M562" s="16"/>
    </row>
    <row r="563" spans="1:13" ht="81" customHeight="1">
      <c r="A563" s="14"/>
      <c r="F563" s="7"/>
      <c r="H563" s="12"/>
      <c r="I563" s="5"/>
      <c r="J563" s="6"/>
      <c r="M563" s="16"/>
    </row>
    <row r="564" spans="1:13" ht="81" customHeight="1">
      <c r="A564" s="14"/>
      <c r="F564" s="7"/>
      <c r="H564" s="12"/>
      <c r="I564" s="5"/>
      <c r="J564" s="6"/>
      <c r="M564" s="16"/>
    </row>
    <row r="565" spans="1:13" ht="81" customHeight="1">
      <c r="A565" s="14"/>
      <c r="F565" s="7"/>
      <c r="H565" s="12"/>
      <c r="I565" s="5"/>
      <c r="J565" s="6"/>
      <c r="M565" s="16"/>
    </row>
    <row r="566" spans="1:13" ht="81" customHeight="1">
      <c r="A566" s="14"/>
      <c r="F566" s="7"/>
      <c r="H566" s="12"/>
      <c r="I566" s="5"/>
      <c r="J566" s="6"/>
      <c r="M566" s="16"/>
    </row>
    <row r="567" spans="1:13" ht="81" customHeight="1">
      <c r="A567" s="14"/>
      <c r="F567" s="7"/>
      <c r="H567" s="12"/>
      <c r="I567" s="5"/>
      <c r="J567" s="6"/>
      <c r="M567" s="16"/>
    </row>
    <row r="568" spans="1:13" ht="81" customHeight="1">
      <c r="A568" s="14"/>
      <c r="F568" s="7"/>
      <c r="H568" s="12"/>
      <c r="I568" s="5"/>
      <c r="J568" s="6"/>
      <c r="M568" s="16"/>
    </row>
    <row r="569" spans="1:13" ht="81" customHeight="1">
      <c r="A569" s="14"/>
      <c r="F569" s="7"/>
      <c r="H569" s="12"/>
      <c r="I569" s="5"/>
      <c r="J569" s="6"/>
      <c r="M569" s="16"/>
    </row>
    <row r="570" spans="1:13" ht="81" customHeight="1">
      <c r="A570" s="14"/>
      <c r="F570" s="7"/>
      <c r="H570" s="12"/>
      <c r="I570" s="5"/>
      <c r="J570" s="6"/>
      <c r="M570" s="16"/>
    </row>
    <row r="571" spans="1:13" ht="81" customHeight="1">
      <c r="A571" s="14"/>
      <c r="F571" s="7"/>
      <c r="H571" s="12"/>
      <c r="I571" s="5"/>
      <c r="J571" s="6"/>
      <c r="M571" s="16"/>
    </row>
    <row r="572" spans="1:13" ht="81" customHeight="1">
      <c r="A572" s="14"/>
      <c r="F572" s="7"/>
      <c r="H572" s="12"/>
      <c r="I572" s="5"/>
      <c r="J572" s="6"/>
      <c r="M572" s="16"/>
    </row>
    <row r="573" spans="1:13" ht="81" customHeight="1">
      <c r="A573" s="14"/>
      <c r="F573" s="7"/>
      <c r="H573" s="12"/>
      <c r="I573" s="5"/>
      <c r="J573" s="6"/>
      <c r="M573" s="16"/>
    </row>
    <row r="574" spans="1:13" ht="81" customHeight="1">
      <c r="A574" s="14"/>
      <c r="F574" s="7"/>
      <c r="H574" s="12"/>
      <c r="I574" s="5"/>
      <c r="J574" s="6"/>
      <c r="M574" s="16"/>
    </row>
    <row r="575" spans="1:13" ht="81" customHeight="1">
      <c r="A575" s="14"/>
      <c r="F575" s="7"/>
      <c r="H575" s="12"/>
      <c r="I575" s="5"/>
      <c r="J575" s="6"/>
      <c r="M575" s="16"/>
    </row>
    <row r="576" spans="1:13" ht="81" customHeight="1">
      <c r="A576" s="14"/>
      <c r="F576" s="7"/>
      <c r="H576" s="12"/>
      <c r="I576" s="5"/>
      <c r="J576" s="6"/>
      <c r="M576" s="16"/>
    </row>
    <row r="577" spans="1:13" ht="81" customHeight="1">
      <c r="A577" s="14"/>
      <c r="F577" s="7"/>
      <c r="H577" s="12"/>
      <c r="I577" s="5"/>
      <c r="J577" s="6"/>
      <c r="M577" s="16"/>
    </row>
    <row r="578" spans="1:13" ht="81" customHeight="1">
      <c r="A578" s="14"/>
      <c r="F578" s="7"/>
      <c r="H578" s="12"/>
      <c r="I578" s="5"/>
      <c r="J578" s="6"/>
      <c r="M578" s="16"/>
    </row>
    <row r="579" spans="1:13" ht="81" customHeight="1">
      <c r="A579" s="14"/>
      <c r="F579" s="7"/>
      <c r="H579" s="12"/>
      <c r="I579" s="5"/>
      <c r="J579" s="6"/>
      <c r="M579" s="16"/>
    </row>
    <row r="580" spans="1:13" ht="81" customHeight="1">
      <c r="A580" s="14"/>
      <c r="F580" s="7"/>
      <c r="H580" s="12"/>
      <c r="I580" s="5"/>
      <c r="J580" s="6"/>
      <c r="M580" s="16"/>
    </row>
    <row r="581" spans="1:13" ht="81" customHeight="1">
      <c r="A581" s="14"/>
      <c r="F581" s="7"/>
      <c r="H581" s="12"/>
      <c r="I581" s="5"/>
      <c r="J581" s="6"/>
      <c r="M581" s="16"/>
    </row>
    <row r="582" spans="1:13" ht="81" customHeight="1">
      <c r="A582" s="14"/>
      <c r="F582" s="7"/>
      <c r="H582" s="12"/>
      <c r="I582" s="5"/>
      <c r="J582" s="6"/>
      <c r="M582" s="16"/>
    </row>
    <row r="583" spans="1:13" ht="81" customHeight="1">
      <c r="A583" s="14"/>
      <c r="F583" s="7"/>
      <c r="H583" s="12"/>
      <c r="I583" s="5"/>
      <c r="J583" s="6"/>
      <c r="M583" s="16"/>
    </row>
    <row r="584" spans="1:13" ht="81" customHeight="1">
      <c r="A584" s="14"/>
      <c r="F584" s="7"/>
      <c r="H584" s="12"/>
      <c r="I584" s="5"/>
      <c r="J584" s="6"/>
      <c r="M584" s="16"/>
    </row>
    <row r="585" spans="1:13" ht="81" customHeight="1">
      <c r="A585" s="14"/>
      <c r="F585" s="7"/>
      <c r="H585" s="12"/>
      <c r="I585" s="5"/>
      <c r="J585" s="6"/>
      <c r="M585" s="16"/>
    </row>
    <row r="586" spans="1:13" ht="81" customHeight="1">
      <c r="A586" s="14"/>
      <c r="F586" s="7"/>
      <c r="H586" s="12"/>
      <c r="I586" s="5"/>
      <c r="J586" s="6"/>
      <c r="M586" s="16"/>
    </row>
    <row r="587" spans="1:13" ht="81" customHeight="1">
      <c r="A587" s="14"/>
      <c r="F587" s="7"/>
      <c r="H587" s="12"/>
      <c r="I587" s="5"/>
      <c r="J587" s="6"/>
      <c r="M587" s="16"/>
    </row>
    <row r="588" spans="1:13" ht="81" customHeight="1">
      <c r="A588" s="14"/>
      <c r="F588" s="7"/>
      <c r="H588" s="12"/>
      <c r="I588" s="5"/>
      <c r="J588" s="6"/>
      <c r="M588" s="16"/>
    </row>
    <row r="589" spans="1:13" ht="81" customHeight="1">
      <c r="A589" s="14"/>
      <c r="F589" s="7"/>
      <c r="H589" s="12"/>
      <c r="I589" s="5"/>
      <c r="J589" s="6"/>
      <c r="M589" s="16"/>
    </row>
    <row r="590" spans="1:13" ht="81" customHeight="1">
      <c r="A590" s="14"/>
      <c r="F590" s="7"/>
      <c r="H590" s="12"/>
      <c r="I590" s="5"/>
      <c r="J590" s="6"/>
      <c r="M590" s="16"/>
    </row>
    <row r="591" spans="1:13" ht="81" customHeight="1">
      <c r="A591" s="14"/>
      <c r="F591" s="7"/>
      <c r="H591" s="12"/>
      <c r="I591" s="5"/>
      <c r="J591" s="6"/>
      <c r="M591" s="16"/>
    </row>
    <row r="592" spans="1:13" ht="81" customHeight="1">
      <c r="A592" s="14"/>
      <c r="F592" s="7"/>
      <c r="H592" s="12"/>
      <c r="I592" s="5"/>
      <c r="J592" s="6"/>
      <c r="M592" s="16"/>
    </row>
    <row r="593" spans="1:13" ht="81" customHeight="1">
      <c r="A593" s="14"/>
      <c r="F593" s="7"/>
      <c r="H593" s="12"/>
      <c r="I593" s="5"/>
      <c r="J593" s="6"/>
      <c r="M593" s="16"/>
    </row>
    <row r="594" spans="1:13" ht="81" customHeight="1">
      <c r="A594" s="14"/>
      <c r="F594" s="7"/>
      <c r="H594" s="12"/>
      <c r="I594" s="5"/>
      <c r="J594" s="6"/>
      <c r="M594" s="16"/>
    </row>
    <row r="595" spans="1:13" ht="81" customHeight="1">
      <c r="A595" s="14"/>
      <c r="F595" s="7"/>
      <c r="H595" s="12"/>
      <c r="I595" s="5"/>
      <c r="J595" s="6"/>
      <c r="M595" s="16"/>
    </row>
    <row r="596" spans="1:13" ht="81" customHeight="1">
      <c r="A596" s="14"/>
      <c r="F596" s="7"/>
      <c r="H596" s="12"/>
      <c r="I596" s="5"/>
      <c r="J596" s="6"/>
      <c r="M596" s="16"/>
    </row>
    <row r="597" spans="1:13" ht="81" customHeight="1">
      <c r="A597" s="14"/>
      <c r="F597" s="7"/>
      <c r="H597" s="12"/>
      <c r="I597" s="5"/>
      <c r="J597" s="6"/>
      <c r="M597" s="16"/>
    </row>
    <row r="598" spans="1:13" ht="81" customHeight="1">
      <c r="A598" s="14"/>
      <c r="F598" s="7"/>
      <c r="H598" s="12"/>
      <c r="I598" s="5"/>
      <c r="J598" s="6"/>
      <c r="M598" s="16"/>
    </row>
    <row r="599" spans="1:13" ht="81" customHeight="1">
      <c r="A599" s="14"/>
      <c r="F599" s="7"/>
      <c r="H599" s="12"/>
      <c r="I599" s="5"/>
      <c r="J599" s="6"/>
      <c r="M599" s="16"/>
    </row>
    <row r="600" spans="1:13" ht="81" customHeight="1">
      <c r="A600" s="14"/>
      <c r="F600" s="7"/>
      <c r="H600" s="12"/>
      <c r="I600" s="5"/>
      <c r="J600" s="6"/>
      <c r="M600" s="16"/>
    </row>
    <row r="601" spans="1:13" ht="81" customHeight="1">
      <c r="A601" s="14"/>
      <c r="F601" s="7"/>
      <c r="H601" s="12"/>
      <c r="I601" s="5"/>
      <c r="J601" s="6"/>
      <c r="M601" s="16"/>
    </row>
    <row r="602" spans="1:13" ht="81" customHeight="1">
      <c r="A602" s="14"/>
      <c r="F602" s="7"/>
      <c r="H602" s="12"/>
      <c r="I602" s="5"/>
      <c r="J602" s="6"/>
      <c r="M602" s="16"/>
    </row>
    <row r="603" spans="1:13" ht="81" customHeight="1">
      <c r="A603" s="14"/>
      <c r="F603" s="7"/>
      <c r="H603" s="12"/>
      <c r="I603" s="5"/>
      <c r="J603" s="6"/>
      <c r="M603" s="16"/>
    </row>
    <row r="604" spans="1:13" ht="81" customHeight="1">
      <c r="A604" s="14"/>
      <c r="F604" s="7"/>
      <c r="H604" s="12"/>
      <c r="I604" s="5"/>
      <c r="J604" s="6"/>
      <c r="M604" s="16"/>
    </row>
    <row r="605" spans="1:13" ht="81" customHeight="1">
      <c r="A605" s="14"/>
      <c r="F605" s="7"/>
      <c r="H605" s="12"/>
      <c r="I605" s="5"/>
      <c r="J605" s="6"/>
      <c r="M605" s="16"/>
    </row>
    <row r="606" spans="1:13" ht="81" customHeight="1">
      <c r="A606" s="14"/>
      <c r="F606" s="7"/>
      <c r="H606" s="12"/>
      <c r="I606" s="5"/>
      <c r="J606" s="6"/>
      <c r="M606" s="16"/>
    </row>
    <row r="607" spans="1:13" ht="81" customHeight="1">
      <c r="A607" s="14"/>
      <c r="F607" s="7"/>
      <c r="H607" s="12"/>
      <c r="I607" s="5"/>
      <c r="J607" s="6"/>
      <c r="M607" s="16"/>
    </row>
    <row r="608" spans="1:13" ht="81" customHeight="1">
      <c r="A608" s="14"/>
      <c r="F608" s="7"/>
      <c r="H608" s="12"/>
      <c r="I608" s="5"/>
      <c r="J608" s="6"/>
      <c r="M608" s="16"/>
    </row>
    <row r="609" spans="1:13" ht="81" customHeight="1">
      <c r="A609" s="14"/>
      <c r="F609" s="7"/>
      <c r="H609" s="12"/>
      <c r="I609" s="5"/>
      <c r="J609" s="6"/>
      <c r="M609" s="16"/>
    </row>
    <row r="610" spans="1:13" ht="81" customHeight="1">
      <c r="A610" s="14"/>
      <c r="F610" s="7"/>
      <c r="H610" s="12"/>
      <c r="I610" s="5"/>
      <c r="J610" s="6"/>
      <c r="M610" s="16"/>
    </row>
    <row r="611" spans="1:13" ht="81" customHeight="1">
      <c r="A611" s="14"/>
      <c r="F611" s="7"/>
      <c r="H611" s="12"/>
      <c r="I611" s="5"/>
      <c r="J611" s="6"/>
      <c r="M611" s="16"/>
    </row>
    <row r="612" spans="1:13" ht="81" customHeight="1">
      <c r="A612" s="14"/>
      <c r="F612" s="7"/>
      <c r="H612" s="12"/>
      <c r="I612" s="5"/>
      <c r="J612" s="6"/>
      <c r="M612" s="16"/>
    </row>
    <row r="613" spans="1:13" ht="81" customHeight="1">
      <c r="A613" s="14"/>
      <c r="F613" s="7"/>
      <c r="H613" s="12"/>
      <c r="I613" s="5"/>
      <c r="J613" s="6"/>
      <c r="M613" s="16"/>
    </row>
    <row r="614" spans="1:13" ht="81" customHeight="1">
      <c r="A614" s="14"/>
      <c r="F614" s="7"/>
      <c r="H614" s="12"/>
      <c r="I614" s="5"/>
      <c r="J614" s="6"/>
      <c r="M614" s="16"/>
    </row>
    <row r="615" spans="1:13" ht="81" customHeight="1">
      <c r="A615" s="14"/>
      <c r="F615" s="7"/>
      <c r="H615" s="12"/>
      <c r="I615" s="5"/>
      <c r="J615" s="6"/>
      <c r="M615" s="16"/>
    </row>
    <row r="616" spans="1:13" ht="81" customHeight="1">
      <c r="A616" s="14"/>
      <c r="F616" s="7"/>
      <c r="H616" s="12"/>
      <c r="I616" s="5"/>
      <c r="J616" s="6"/>
      <c r="M616" s="16"/>
    </row>
    <row r="617" spans="1:13" ht="81" customHeight="1">
      <c r="A617" s="14"/>
      <c r="F617" s="7"/>
      <c r="H617" s="12"/>
      <c r="I617" s="5"/>
      <c r="J617" s="6"/>
      <c r="M617" s="16"/>
    </row>
    <row r="618" spans="1:13" ht="81" customHeight="1">
      <c r="A618" s="14"/>
      <c r="F618" s="7"/>
      <c r="H618" s="12"/>
      <c r="I618" s="5"/>
      <c r="J618" s="6"/>
      <c r="M618" s="16"/>
    </row>
    <row r="619" spans="1:13" ht="81" customHeight="1">
      <c r="A619" s="14"/>
      <c r="F619" s="7"/>
      <c r="H619" s="12"/>
      <c r="I619" s="5"/>
      <c r="J619" s="6"/>
      <c r="M619" s="16"/>
    </row>
    <row r="620" spans="1:13" ht="81" customHeight="1">
      <c r="A620" s="14"/>
      <c r="F620" s="7"/>
      <c r="H620" s="12"/>
      <c r="I620" s="5"/>
      <c r="J620" s="6"/>
      <c r="M620" s="16"/>
    </row>
    <row r="621" spans="1:13" ht="81" customHeight="1">
      <c r="A621" s="14"/>
      <c r="F621" s="7"/>
      <c r="H621" s="12"/>
      <c r="I621" s="5"/>
      <c r="J621" s="6"/>
      <c r="M621" s="16"/>
    </row>
    <row r="622" spans="1:13" ht="81" customHeight="1">
      <c r="A622" s="14"/>
      <c r="F622" s="7"/>
      <c r="H622" s="12"/>
      <c r="I622" s="5"/>
      <c r="J622" s="6"/>
      <c r="M622" s="16"/>
    </row>
    <row r="623" spans="1:13" ht="81" customHeight="1">
      <c r="A623" s="14"/>
      <c r="F623" s="7"/>
      <c r="H623" s="12"/>
      <c r="I623" s="5"/>
      <c r="J623" s="6"/>
      <c r="M623" s="16"/>
    </row>
    <row r="624" spans="1:13" ht="81" customHeight="1">
      <c r="A624" s="14"/>
      <c r="F624" s="7"/>
      <c r="H624" s="12"/>
      <c r="I624" s="5"/>
      <c r="J624" s="6"/>
      <c r="M624" s="16"/>
    </row>
    <row r="625" spans="1:13" ht="81" customHeight="1">
      <c r="A625" s="14"/>
      <c r="F625" s="7"/>
      <c r="H625" s="12"/>
      <c r="I625" s="5"/>
      <c r="J625" s="6"/>
      <c r="M625" s="16"/>
    </row>
    <row r="626" spans="1:13" ht="81" customHeight="1">
      <c r="A626" s="14"/>
      <c r="F626" s="7"/>
      <c r="H626" s="12"/>
      <c r="I626" s="5"/>
      <c r="J626" s="6"/>
      <c r="M626" s="16"/>
    </row>
    <row r="627" spans="1:13" ht="81" customHeight="1">
      <c r="A627" s="14"/>
      <c r="F627" s="7"/>
      <c r="H627" s="12"/>
      <c r="I627" s="5"/>
      <c r="J627" s="6"/>
      <c r="M627" s="16"/>
    </row>
    <row r="628" spans="1:13" ht="81" customHeight="1">
      <c r="A628" s="14"/>
      <c r="F628" s="7"/>
      <c r="H628" s="12"/>
      <c r="I628" s="5"/>
      <c r="J628" s="6"/>
      <c r="M628" s="16"/>
    </row>
    <row r="629" spans="1:13" ht="81" customHeight="1">
      <c r="A629" s="14"/>
      <c r="F629" s="7"/>
      <c r="H629" s="12"/>
      <c r="I629" s="5"/>
      <c r="J629" s="6"/>
      <c r="M629" s="16"/>
    </row>
    <row r="630" spans="1:13" ht="81" customHeight="1">
      <c r="A630" s="14"/>
      <c r="F630" s="7"/>
      <c r="H630" s="12"/>
      <c r="I630" s="5"/>
      <c r="J630" s="6"/>
      <c r="M630" s="16"/>
    </row>
    <row r="631" spans="1:13" ht="81" customHeight="1">
      <c r="A631" s="14"/>
      <c r="F631" s="7"/>
      <c r="H631" s="12"/>
      <c r="I631" s="5"/>
      <c r="J631" s="6"/>
      <c r="M631" s="16"/>
    </row>
    <row r="632" spans="1:13" ht="81" customHeight="1">
      <c r="A632" s="14"/>
      <c r="F632" s="7"/>
      <c r="H632" s="12"/>
      <c r="I632" s="5"/>
      <c r="J632" s="6"/>
      <c r="M632" s="16"/>
    </row>
    <row r="633" spans="1:13" ht="81" customHeight="1">
      <c r="A633" s="14"/>
      <c r="F633" s="7"/>
      <c r="H633" s="12"/>
      <c r="I633" s="5"/>
      <c r="J633" s="6"/>
      <c r="M633" s="16"/>
    </row>
    <row r="634" spans="1:13" ht="81" customHeight="1">
      <c r="A634" s="14"/>
      <c r="F634" s="7"/>
      <c r="H634" s="12"/>
      <c r="I634" s="5"/>
      <c r="J634" s="6"/>
      <c r="M634" s="16"/>
    </row>
    <row r="635" spans="1:13" ht="81" customHeight="1">
      <c r="A635" s="14"/>
      <c r="F635" s="7"/>
      <c r="H635" s="12"/>
      <c r="I635" s="5"/>
      <c r="J635" s="6"/>
      <c r="M635" s="16"/>
    </row>
    <row r="636" spans="1:13" ht="81" customHeight="1">
      <c r="A636" s="14"/>
      <c r="F636" s="7"/>
      <c r="H636" s="12"/>
      <c r="I636" s="5"/>
      <c r="J636" s="6"/>
      <c r="M636" s="16"/>
    </row>
    <row r="637" spans="1:13" ht="81" customHeight="1">
      <c r="A637" s="14"/>
      <c r="F637" s="7"/>
      <c r="H637" s="12"/>
      <c r="I637" s="5"/>
      <c r="J637" s="6"/>
      <c r="M637" s="16"/>
    </row>
    <row r="638" spans="1:13" ht="81" customHeight="1">
      <c r="A638" s="14"/>
      <c r="F638" s="7"/>
      <c r="H638" s="12"/>
      <c r="I638" s="5"/>
      <c r="J638" s="6"/>
      <c r="M638" s="16"/>
    </row>
    <row r="639" spans="1:13" ht="81" customHeight="1">
      <c r="A639" s="14"/>
      <c r="F639" s="7"/>
      <c r="H639" s="12"/>
      <c r="I639" s="5"/>
      <c r="J639" s="6"/>
      <c r="M639" s="16"/>
    </row>
    <row r="640" spans="1:13" ht="81" customHeight="1">
      <c r="A640" s="14"/>
      <c r="F640" s="7"/>
      <c r="H640" s="12"/>
      <c r="I640" s="5"/>
      <c r="J640" s="6"/>
      <c r="M640" s="16"/>
    </row>
    <row r="641" spans="1:13" ht="81" customHeight="1">
      <c r="A641" s="14"/>
      <c r="F641" s="7"/>
      <c r="H641" s="12"/>
      <c r="I641" s="5"/>
      <c r="J641" s="6"/>
      <c r="M641" s="16"/>
    </row>
    <row r="642" spans="1:13" ht="81" customHeight="1">
      <c r="A642" s="14"/>
      <c r="F642" s="7"/>
      <c r="H642" s="12"/>
      <c r="I642" s="5"/>
      <c r="J642" s="6"/>
      <c r="M642" s="16"/>
    </row>
    <row r="643" spans="1:13" ht="81" customHeight="1">
      <c r="A643" s="14"/>
      <c r="F643" s="7"/>
      <c r="H643" s="12"/>
      <c r="I643" s="5"/>
      <c r="J643" s="6"/>
      <c r="M643" s="16"/>
    </row>
    <row r="644" spans="1:13" ht="81" customHeight="1">
      <c r="A644" s="14"/>
      <c r="F644" s="7"/>
      <c r="H644" s="12"/>
      <c r="I644" s="5"/>
      <c r="J644" s="6"/>
      <c r="M644" s="16"/>
    </row>
    <row r="645" spans="1:13" ht="81" customHeight="1">
      <c r="A645" s="14"/>
      <c r="F645" s="7"/>
      <c r="H645" s="12"/>
      <c r="I645" s="5"/>
      <c r="J645" s="6"/>
      <c r="M645" s="16"/>
    </row>
    <row r="646" spans="1:13" ht="81" customHeight="1">
      <c r="A646" s="14"/>
      <c r="F646" s="7"/>
      <c r="H646" s="12"/>
      <c r="I646" s="5"/>
      <c r="J646" s="6"/>
      <c r="M646" s="16"/>
    </row>
    <row r="647" spans="1:13" ht="81" customHeight="1">
      <c r="A647" s="14"/>
      <c r="F647" s="7"/>
      <c r="H647" s="12"/>
      <c r="I647" s="5"/>
      <c r="J647" s="6"/>
      <c r="M647" s="16"/>
    </row>
    <row r="648" spans="1:13" ht="81" customHeight="1">
      <c r="A648" s="14"/>
      <c r="F648" s="7"/>
      <c r="H648" s="12"/>
      <c r="I648" s="5"/>
      <c r="J648" s="6"/>
      <c r="M648" s="16"/>
    </row>
    <row r="649" spans="1:13" ht="81" customHeight="1">
      <c r="A649" s="14"/>
      <c r="F649" s="7"/>
      <c r="H649" s="12"/>
      <c r="I649" s="5"/>
      <c r="J649" s="6"/>
      <c r="M649" s="16"/>
    </row>
    <row r="650" spans="1:13" ht="81" customHeight="1">
      <c r="A650" s="14"/>
      <c r="F650" s="7"/>
      <c r="H650" s="12"/>
      <c r="I650" s="5"/>
      <c r="J650" s="6"/>
      <c r="M650" s="16"/>
    </row>
    <row r="651" spans="1:13" ht="81" customHeight="1">
      <c r="A651" s="14"/>
      <c r="F651" s="7"/>
      <c r="H651" s="12"/>
      <c r="I651" s="5"/>
      <c r="J651" s="6"/>
      <c r="M651" s="16"/>
    </row>
    <row r="652" spans="1:13" ht="81" customHeight="1">
      <c r="A652" s="14"/>
      <c r="F652" s="7"/>
      <c r="H652" s="12"/>
      <c r="I652" s="5"/>
      <c r="J652" s="6"/>
      <c r="M652" s="16"/>
    </row>
    <row r="653" spans="1:13" ht="81" customHeight="1">
      <c r="A653" s="14"/>
      <c r="F653" s="7"/>
      <c r="H653" s="12"/>
      <c r="I653" s="5"/>
      <c r="J653" s="6"/>
      <c r="M653" s="16"/>
    </row>
    <row r="654" spans="1:13" ht="81" customHeight="1">
      <c r="A654" s="14"/>
      <c r="F654" s="7"/>
      <c r="H654" s="12"/>
      <c r="I654" s="5"/>
      <c r="J654" s="6"/>
      <c r="M654" s="16"/>
    </row>
    <row r="655" spans="1:13" ht="81" customHeight="1">
      <c r="A655" s="14"/>
      <c r="F655" s="7"/>
      <c r="H655" s="12"/>
      <c r="I655" s="5"/>
      <c r="J655" s="6"/>
      <c r="M655" s="16"/>
    </row>
    <row r="656" spans="1:13" ht="81" customHeight="1">
      <c r="A656" s="14"/>
      <c r="F656" s="7"/>
      <c r="H656" s="12"/>
      <c r="I656" s="5"/>
      <c r="J656" s="6"/>
      <c r="M656" s="16"/>
    </row>
    <row r="657" spans="1:13" ht="81" customHeight="1">
      <c r="A657" s="14"/>
      <c r="F657" s="7"/>
      <c r="H657" s="12"/>
      <c r="I657" s="5"/>
      <c r="J657" s="6"/>
      <c r="M657" s="16"/>
    </row>
    <row r="658" spans="1:13" ht="81" customHeight="1">
      <c r="A658" s="14"/>
      <c r="F658" s="7"/>
      <c r="H658" s="12"/>
      <c r="I658" s="5"/>
      <c r="J658" s="6"/>
      <c r="M658" s="16"/>
    </row>
    <row r="659" spans="1:13" ht="81" customHeight="1">
      <c r="A659" s="14"/>
      <c r="F659" s="7"/>
      <c r="H659" s="12"/>
      <c r="I659" s="5"/>
      <c r="J659" s="6"/>
      <c r="M659" s="16"/>
    </row>
    <row r="660" spans="1:13" ht="81" customHeight="1">
      <c r="A660" s="14"/>
      <c r="F660" s="7"/>
      <c r="H660" s="12"/>
      <c r="I660" s="5"/>
      <c r="J660" s="6"/>
      <c r="M660" s="16"/>
    </row>
    <row r="661" spans="1:13" ht="81" customHeight="1">
      <c r="A661" s="14"/>
      <c r="F661" s="7"/>
      <c r="H661" s="12"/>
      <c r="I661" s="5"/>
      <c r="J661" s="6"/>
      <c r="M661" s="16"/>
    </row>
    <row r="662" spans="1:13" ht="81" customHeight="1">
      <c r="A662" s="14"/>
      <c r="F662" s="7"/>
      <c r="H662" s="12"/>
      <c r="I662" s="5"/>
      <c r="J662" s="6"/>
      <c r="M662" s="16"/>
    </row>
    <row r="663" spans="1:13" ht="81" customHeight="1">
      <c r="A663" s="14"/>
      <c r="F663" s="7"/>
      <c r="H663" s="12"/>
      <c r="I663" s="5"/>
      <c r="J663" s="6"/>
      <c r="M663" s="16"/>
    </row>
    <row r="664" spans="1:13" ht="81" customHeight="1">
      <c r="A664" s="14"/>
      <c r="F664" s="7"/>
      <c r="H664" s="12"/>
      <c r="I664" s="5"/>
      <c r="J664" s="6"/>
      <c r="M664" s="16"/>
    </row>
    <row r="665" spans="1:13" ht="81" customHeight="1">
      <c r="A665" s="14"/>
      <c r="F665" s="7"/>
      <c r="H665" s="12"/>
      <c r="I665" s="5"/>
      <c r="J665" s="6"/>
      <c r="M665" s="16"/>
    </row>
    <row r="666" spans="1:13" ht="81" customHeight="1">
      <c r="A666" s="14"/>
      <c r="F666" s="7"/>
      <c r="H666" s="12"/>
      <c r="I666" s="5"/>
      <c r="J666" s="6"/>
      <c r="M666" s="16"/>
    </row>
    <row r="667" spans="1:13" ht="81" customHeight="1">
      <c r="A667" s="14"/>
      <c r="F667" s="7"/>
      <c r="H667" s="12"/>
      <c r="I667" s="5"/>
      <c r="J667" s="6"/>
      <c r="M667" s="16"/>
    </row>
    <row r="668" spans="1:13" ht="81" customHeight="1">
      <c r="A668" s="14"/>
      <c r="F668" s="7"/>
      <c r="H668" s="12"/>
      <c r="I668" s="5"/>
      <c r="J668" s="6"/>
      <c r="M668" s="16"/>
    </row>
    <row r="669" spans="1:13" ht="81" customHeight="1">
      <c r="A669" s="14"/>
      <c r="F669" s="7"/>
      <c r="H669" s="12"/>
      <c r="I669" s="5"/>
      <c r="J669" s="6"/>
      <c r="M669" s="16"/>
    </row>
    <row r="670" spans="1:13" ht="81" customHeight="1">
      <c r="A670" s="14"/>
      <c r="F670" s="7"/>
      <c r="H670" s="12"/>
      <c r="I670" s="5"/>
      <c r="J670" s="6"/>
      <c r="M670" s="16"/>
    </row>
    <row r="671" spans="1:13" ht="81" customHeight="1">
      <c r="A671" s="14"/>
      <c r="F671" s="7"/>
      <c r="H671" s="12"/>
      <c r="I671" s="5"/>
      <c r="J671" s="6"/>
      <c r="M671" s="16"/>
    </row>
    <row r="672" spans="1:13" ht="81" customHeight="1">
      <c r="A672" s="14"/>
      <c r="F672" s="7"/>
      <c r="H672" s="12"/>
      <c r="I672" s="5"/>
      <c r="J672" s="6"/>
      <c r="M672" s="16"/>
    </row>
    <row r="673" spans="1:13" ht="81" customHeight="1">
      <c r="A673" s="14"/>
      <c r="F673" s="7"/>
      <c r="H673" s="12"/>
      <c r="I673" s="5"/>
      <c r="J673" s="6"/>
      <c r="M673" s="16"/>
    </row>
    <row r="674" spans="1:13" ht="81" customHeight="1">
      <c r="A674" s="14"/>
      <c r="F674" s="7"/>
      <c r="H674" s="12"/>
      <c r="I674" s="5"/>
      <c r="J674" s="6"/>
      <c r="M674" s="16"/>
    </row>
    <row r="675" spans="1:13" ht="81" customHeight="1">
      <c r="A675" s="14"/>
      <c r="F675" s="7"/>
      <c r="H675" s="12"/>
      <c r="I675" s="5"/>
      <c r="J675" s="6"/>
      <c r="M675" s="16"/>
    </row>
    <row r="676" spans="1:13" ht="81" customHeight="1">
      <c r="A676" s="14"/>
      <c r="F676" s="7"/>
      <c r="H676" s="12"/>
      <c r="I676" s="5"/>
      <c r="J676" s="6"/>
      <c r="M676" s="16"/>
    </row>
    <row r="677" spans="1:13" ht="81" customHeight="1">
      <c r="A677" s="14"/>
      <c r="F677" s="7"/>
      <c r="H677" s="12"/>
      <c r="I677" s="5"/>
      <c r="J677" s="6"/>
      <c r="M677" s="16"/>
    </row>
    <row r="678" spans="1:13" ht="81" customHeight="1">
      <c r="A678" s="14"/>
      <c r="F678" s="7"/>
      <c r="H678" s="12"/>
      <c r="I678" s="5"/>
      <c r="J678" s="6"/>
      <c r="M678" s="16"/>
    </row>
    <row r="679" spans="1:13" ht="81" customHeight="1">
      <c r="A679" s="14"/>
      <c r="F679" s="7"/>
      <c r="H679" s="12"/>
      <c r="I679" s="5"/>
      <c r="J679" s="6"/>
      <c r="M679" s="16"/>
    </row>
    <row r="680" spans="1:13" ht="81" customHeight="1">
      <c r="A680" s="14"/>
      <c r="F680" s="7"/>
      <c r="H680" s="12"/>
      <c r="I680" s="5"/>
      <c r="J680" s="6"/>
      <c r="M680" s="16"/>
    </row>
    <row r="681" spans="1:13" ht="81" customHeight="1">
      <c r="A681" s="14"/>
      <c r="F681" s="7"/>
      <c r="H681" s="12"/>
      <c r="I681" s="5"/>
      <c r="J681" s="6"/>
      <c r="M681" s="16"/>
    </row>
    <row r="682" spans="1:13" ht="81" customHeight="1">
      <c r="A682" s="14"/>
      <c r="F682" s="7"/>
      <c r="H682" s="12"/>
      <c r="I682" s="5"/>
      <c r="J682" s="6"/>
      <c r="M682" s="16"/>
    </row>
    <row r="683" spans="1:13" ht="81" customHeight="1">
      <c r="A683" s="14"/>
      <c r="F683" s="7"/>
      <c r="H683" s="12"/>
      <c r="I683" s="5"/>
      <c r="J683" s="6"/>
      <c r="M683" s="16"/>
    </row>
    <row r="684" spans="1:13" ht="81" customHeight="1">
      <c r="A684" s="14"/>
      <c r="F684" s="7"/>
      <c r="H684" s="12"/>
      <c r="I684" s="5"/>
      <c r="J684" s="6"/>
      <c r="M684" s="16"/>
    </row>
    <row r="685" spans="1:13" ht="81" customHeight="1">
      <c r="A685" s="14"/>
      <c r="F685" s="7"/>
      <c r="H685" s="12"/>
      <c r="I685" s="5"/>
      <c r="J685" s="6"/>
      <c r="M685" s="16"/>
    </row>
    <row r="686" spans="1:13" ht="81" customHeight="1">
      <c r="A686" s="14"/>
      <c r="F686" s="7"/>
      <c r="H686" s="12"/>
      <c r="I686" s="5"/>
      <c r="J686" s="6"/>
      <c r="M686" s="16"/>
    </row>
    <row r="687" spans="1:13" ht="81" customHeight="1">
      <c r="A687" s="14"/>
      <c r="F687" s="7"/>
      <c r="H687" s="12"/>
      <c r="I687" s="5"/>
      <c r="J687" s="6"/>
      <c r="M687" s="16"/>
    </row>
    <row r="688" spans="1:13" ht="81" customHeight="1">
      <c r="A688" s="14"/>
      <c r="F688" s="7"/>
      <c r="H688" s="12"/>
      <c r="I688" s="5"/>
      <c r="J688" s="6"/>
      <c r="M688" s="16"/>
    </row>
    <row r="689" spans="1:13" ht="81" customHeight="1">
      <c r="A689" s="14"/>
      <c r="F689" s="7"/>
      <c r="H689" s="12"/>
      <c r="I689" s="5"/>
      <c r="J689" s="6"/>
      <c r="M689" s="16"/>
    </row>
    <row r="690" spans="1:13" ht="81" customHeight="1">
      <c r="A690" s="14"/>
      <c r="F690" s="7"/>
      <c r="H690" s="12"/>
      <c r="I690" s="5"/>
      <c r="J690" s="6"/>
      <c r="M690" s="16"/>
    </row>
    <row r="691" spans="1:13" ht="81" customHeight="1">
      <c r="A691" s="14"/>
      <c r="F691" s="7"/>
      <c r="H691" s="12"/>
      <c r="I691" s="5"/>
      <c r="J691" s="6"/>
      <c r="M691" s="16"/>
    </row>
    <row r="692" spans="1:13" ht="81" customHeight="1">
      <c r="A692" s="14"/>
      <c r="F692" s="7"/>
      <c r="H692" s="12"/>
      <c r="I692" s="5"/>
      <c r="J692" s="6"/>
      <c r="M692" s="16"/>
    </row>
    <row r="693" spans="1:13" ht="81" customHeight="1">
      <c r="A693" s="14"/>
      <c r="F693" s="7"/>
      <c r="H693" s="12"/>
      <c r="I693" s="5"/>
      <c r="J693" s="6"/>
      <c r="M693" s="16"/>
    </row>
    <row r="694" spans="1:13" ht="81" customHeight="1">
      <c r="A694" s="14"/>
      <c r="F694" s="7"/>
      <c r="H694" s="12"/>
      <c r="I694" s="5"/>
      <c r="J694" s="6"/>
      <c r="M694" s="16"/>
    </row>
    <row r="695" spans="1:13" ht="81" customHeight="1">
      <c r="A695" s="14"/>
      <c r="F695" s="7"/>
      <c r="H695" s="12"/>
      <c r="I695" s="5"/>
      <c r="J695" s="6"/>
      <c r="M695" s="16"/>
    </row>
    <row r="696" spans="1:13" ht="81" customHeight="1">
      <c r="A696" s="14"/>
      <c r="F696" s="7"/>
      <c r="H696" s="12"/>
      <c r="I696" s="5"/>
      <c r="J696" s="6"/>
      <c r="M696" s="16"/>
    </row>
    <row r="697" spans="1:13" ht="81" customHeight="1">
      <c r="A697" s="14"/>
      <c r="F697" s="7"/>
      <c r="H697" s="12"/>
      <c r="I697" s="5"/>
      <c r="J697" s="6"/>
      <c r="M697" s="16"/>
    </row>
    <row r="698" spans="1:13" ht="81" customHeight="1">
      <c r="A698" s="14"/>
      <c r="F698" s="7"/>
      <c r="H698" s="12"/>
      <c r="I698" s="5"/>
      <c r="J698" s="6"/>
      <c r="M698" s="16"/>
    </row>
    <row r="699" spans="1:13" ht="81" customHeight="1">
      <c r="A699" s="14"/>
      <c r="F699" s="7"/>
      <c r="H699" s="12"/>
      <c r="I699" s="5"/>
      <c r="J699" s="6"/>
      <c r="M699" s="16"/>
    </row>
    <row r="700" spans="1:13" ht="81" customHeight="1">
      <c r="A700" s="14"/>
      <c r="F700" s="7"/>
      <c r="H700" s="12"/>
      <c r="I700" s="5"/>
      <c r="J700" s="6"/>
      <c r="M700" s="16"/>
    </row>
    <row r="701" spans="1:13" ht="81" customHeight="1">
      <c r="A701" s="14"/>
      <c r="F701" s="7"/>
      <c r="H701" s="12"/>
      <c r="I701" s="5"/>
      <c r="J701" s="6"/>
      <c r="M701" s="16"/>
    </row>
    <row r="702" spans="1:13" ht="81" customHeight="1">
      <c r="A702" s="14"/>
      <c r="F702" s="7"/>
      <c r="H702" s="12"/>
      <c r="I702" s="5"/>
      <c r="J702" s="6"/>
      <c r="M702" s="16"/>
    </row>
    <row r="703" spans="1:13" ht="81" customHeight="1">
      <c r="A703" s="14"/>
      <c r="F703" s="7"/>
      <c r="H703" s="12"/>
      <c r="I703" s="5"/>
      <c r="J703" s="6"/>
      <c r="M703" s="16"/>
    </row>
    <row r="704" spans="1:13" ht="81" customHeight="1">
      <c r="A704" s="14"/>
      <c r="F704" s="7"/>
      <c r="H704" s="12"/>
      <c r="I704" s="5"/>
      <c r="J704" s="6"/>
      <c r="M704" s="16"/>
    </row>
    <row r="705" spans="1:13" ht="81" customHeight="1">
      <c r="A705" s="14"/>
      <c r="F705" s="7"/>
      <c r="H705" s="12"/>
      <c r="I705" s="5"/>
      <c r="J705" s="6"/>
      <c r="M705" s="16"/>
    </row>
    <row r="706" spans="1:13" ht="81" customHeight="1">
      <c r="A706" s="14"/>
      <c r="F706" s="7"/>
      <c r="H706" s="12"/>
      <c r="I706" s="5"/>
      <c r="J706" s="6"/>
      <c r="M706" s="16"/>
    </row>
    <row r="707" spans="1:13" ht="81" customHeight="1">
      <c r="A707" s="14"/>
      <c r="F707" s="7"/>
      <c r="H707" s="12"/>
      <c r="I707" s="5"/>
      <c r="J707" s="6"/>
      <c r="M707" s="16"/>
    </row>
    <row r="708" spans="1:13" ht="81" customHeight="1">
      <c r="A708" s="14"/>
      <c r="F708" s="7"/>
      <c r="H708" s="12"/>
      <c r="I708" s="5"/>
      <c r="J708" s="6"/>
      <c r="M708" s="16"/>
    </row>
    <row r="709" spans="1:13" ht="81" customHeight="1">
      <c r="A709" s="14"/>
      <c r="F709" s="7"/>
      <c r="H709" s="12"/>
      <c r="I709" s="5"/>
      <c r="J709" s="6"/>
      <c r="M709" s="16"/>
    </row>
    <row r="710" spans="1:13" ht="81" customHeight="1">
      <c r="A710" s="14"/>
      <c r="F710" s="7"/>
      <c r="H710" s="12"/>
      <c r="I710" s="5"/>
      <c r="J710" s="6"/>
      <c r="M710" s="16"/>
    </row>
    <row r="711" spans="1:13" ht="81" customHeight="1">
      <c r="A711" s="14"/>
      <c r="F711" s="7"/>
      <c r="H711" s="12"/>
      <c r="I711" s="5"/>
      <c r="J711" s="6"/>
      <c r="M711" s="16"/>
    </row>
    <row r="712" spans="1:13" ht="81" customHeight="1">
      <c r="A712" s="14"/>
      <c r="F712" s="7"/>
      <c r="H712" s="12"/>
      <c r="I712" s="5"/>
      <c r="J712" s="6"/>
      <c r="M712" s="16"/>
    </row>
    <row r="713" spans="1:13" ht="81" customHeight="1">
      <c r="A713" s="14"/>
      <c r="F713" s="7"/>
      <c r="H713" s="12"/>
      <c r="I713" s="5"/>
      <c r="J713" s="6"/>
      <c r="M713" s="16"/>
    </row>
    <row r="714" spans="1:13" ht="81" customHeight="1">
      <c r="A714" s="14"/>
      <c r="F714" s="7"/>
      <c r="H714" s="12"/>
      <c r="I714" s="5"/>
      <c r="J714" s="6"/>
      <c r="M714" s="16"/>
    </row>
    <row r="715" spans="1:13" ht="81" customHeight="1">
      <c r="A715" s="14"/>
      <c r="F715" s="7"/>
      <c r="H715" s="12"/>
      <c r="I715" s="5"/>
      <c r="J715" s="6"/>
      <c r="M715" s="16"/>
    </row>
    <row r="716" spans="1:13" ht="81" customHeight="1">
      <c r="A716" s="14"/>
      <c r="F716" s="7"/>
      <c r="H716" s="12"/>
      <c r="I716" s="5"/>
      <c r="J716" s="6"/>
      <c r="M716" s="16"/>
    </row>
    <row r="717" spans="1:13" ht="81" customHeight="1">
      <c r="A717" s="14"/>
      <c r="F717" s="7"/>
      <c r="H717" s="12"/>
      <c r="I717" s="5"/>
      <c r="J717" s="6"/>
      <c r="M717" s="16"/>
    </row>
    <row r="718" spans="1:13" ht="81" customHeight="1">
      <c r="A718" s="14"/>
      <c r="F718" s="7"/>
      <c r="H718" s="12"/>
      <c r="I718" s="5"/>
      <c r="J718" s="6"/>
      <c r="M718" s="16"/>
    </row>
    <row r="719" spans="1:13" ht="81" customHeight="1">
      <c r="A719" s="14"/>
      <c r="F719" s="7"/>
      <c r="H719" s="12"/>
      <c r="I719" s="5"/>
      <c r="J719" s="6"/>
      <c r="M719" s="16"/>
    </row>
    <row r="720" spans="1:13" ht="81" customHeight="1">
      <c r="A720" s="14"/>
      <c r="F720" s="7"/>
      <c r="H720" s="12"/>
      <c r="I720" s="5"/>
      <c r="J720" s="6"/>
      <c r="M720" s="16"/>
    </row>
    <row r="721" spans="1:13" ht="81" customHeight="1">
      <c r="A721" s="14"/>
      <c r="F721" s="7"/>
      <c r="H721" s="12"/>
      <c r="I721" s="5"/>
      <c r="J721" s="6"/>
      <c r="M721" s="16"/>
    </row>
    <row r="722" spans="1:13" ht="81" customHeight="1">
      <c r="A722" s="14"/>
      <c r="F722" s="7"/>
      <c r="H722" s="12"/>
      <c r="I722" s="5"/>
      <c r="J722" s="6"/>
      <c r="M722" s="16"/>
    </row>
    <row r="723" spans="1:13" ht="81" customHeight="1">
      <c r="A723" s="14"/>
      <c r="F723" s="7"/>
      <c r="H723" s="12"/>
      <c r="I723" s="5"/>
      <c r="J723" s="6"/>
      <c r="M723" s="16"/>
    </row>
    <row r="724" spans="1:13" ht="81" customHeight="1">
      <c r="A724" s="14"/>
      <c r="F724" s="7"/>
      <c r="H724" s="12"/>
      <c r="I724" s="5"/>
      <c r="J724" s="6"/>
      <c r="M724" s="16"/>
    </row>
    <row r="725" spans="1:13" ht="81" customHeight="1">
      <c r="A725" s="14"/>
      <c r="F725" s="7"/>
      <c r="H725" s="12"/>
      <c r="I725" s="5"/>
      <c r="J725" s="6"/>
      <c r="M725" s="16"/>
    </row>
    <row r="726" spans="1:13" ht="81" customHeight="1">
      <c r="A726" s="14"/>
      <c r="F726" s="7"/>
      <c r="H726" s="12"/>
      <c r="I726" s="5"/>
      <c r="J726" s="6"/>
      <c r="M726" s="16"/>
    </row>
    <row r="727" spans="1:13" ht="81" customHeight="1">
      <c r="A727" s="14"/>
      <c r="F727" s="7"/>
      <c r="H727" s="12"/>
      <c r="I727" s="5"/>
      <c r="J727" s="6"/>
      <c r="M727" s="16"/>
    </row>
    <row r="728" spans="1:13" ht="81" customHeight="1">
      <c r="A728" s="14"/>
      <c r="F728" s="7"/>
      <c r="H728" s="12"/>
      <c r="I728" s="5"/>
      <c r="J728" s="6"/>
      <c r="M728" s="16"/>
    </row>
    <row r="729" spans="1:13" ht="81" customHeight="1">
      <c r="A729" s="14"/>
      <c r="F729" s="7"/>
      <c r="H729" s="12"/>
      <c r="I729" s="5"/>
      <c r="J729" s="6"/>
      <c r="M729" s="16"/>
    </row>
    <row r="730" spans="1:13" ht="81" customHeight="1">
      <c r="A730" s="14"/>
      <c r="F730" s="7"/>
      <c r="H730" s="12"/>
      <c r="I730" s="5"/>
      <c r="J730" s="6"/>
      <c r="M730" s="16"/>
    </row>
    <row r="731" spans="1:13" ht="81" customHeight="1">
      <c r="A731" s="14"/>
      <c r="F731" s="7"/>
      <c r="H731" s="12"/>
      <c r="I731" s="5"/>
      <c r="J731" s="6"/>
      <c r="M731" s="16"/>
    </row>
    <row r="732" spans="1:13" ht="81" customHeight="1">
      <c r="A732" s="14"/>
      <c r="F732" s="7"/>
      <c r="H732" s="12"/>
      <c r="I732" s="5"/>
      <c r="J732" s="6"/>
      <c r="M732" s="16"/>
    </row>
    <row r="733" spans="1:13" ht="81" customHeight="1">
      <c r="A733" s="14"/>
      <c r="F733" s="7"/>
      <c r="H733" s="12"/>
      <c r="I733" s="5"/>
      <c r="J733" s="6"/>
      <c r="M733" s="16"/>
    </row>
    <row r="734" spans="1:13" ht="81" customHeight="1">
      <c r="A734" s="14"/>
      <c r="F734" s="7"/>
      <c r="H734" s="12"/>
      <c r="I734" s="5"/>
      <c r="J734" s="6"/>
      <c r="M734" s="16"/>
    </row>
    <row r="735" spans="1:13" ht="81" customHeight="1">
      <c r="A735" s="14"/>
      <c r="F735" s="7"/>
      <c r="H735" s="12"/>
      <c r="I735" s="5"/>
      <c r="J735" s="6"/>
      <c r="M735" s="16"/>
    </row>
    <row r="736" spans="1:13" ht="81" customHeight="1">
      <c r="A736" s="14"/>
      <c r="F736" s="7"/>
      <c r="H736" s="12"/>
      <c r="I736" s="5"/>
      <c r="J736" s="6"/>
      <c r="M736" s="16"/>
    </row>
    <row r="737" spans="1:13" ht="81" customHeight="1">
      <c r="A737" s="14"/>
      <c r="F737" s="7"/>
      <c r="H737" s="12"/>
      <c r="I737" s="5"/>
      <c r="J737" s="6"/>
      <c r="M737" s="16"/>
    </row>
    <row r="738" spans="1:13" ht="81" customHeight="1">
      <c r="A738" s="14"/>
      <c r="F738" s="7"/>
      <c r="H738" s="12"/>
      <c r="I738" s="5"/>
      <c r="J738" s="6"/>
      <c r="M738" s="16"/>
    </row>
    <row r="739" spans="1:13" ht="81" customHeight="1">
      <c r="A739" s="14"/>
      <c r="F739" s="7"/>
      <c r="H739" s="12"/>
      <c r="I739" s="5"/>
      <c r="J739" s="6"/>
      <c r="M739" s="16"/>
    </row>
    <row r="740" spans="1:13" ht="81" customHeight="1">
      <c r="A740" s="14"/>
      <c r="F740" s="7"/>
      <c r="H740" s="12"/>
      <c r="I740" s="5"/>
      <c r="J740" s="6"/>
      <c r="M740" s="16"/>
    </row>
    <row r="741" spans="1:13" ht="81" customHeight="1">
      <c r="A741" s="14"/>
      <c r="F741" s="7"/>
      <c r="H741" s="12"/>
      <c r="I741" s="5"/>
      <c r="J741" s="6"/>
      <c r="M741" s="16"/>
    </row>
    <row r="742" spans="1:13" ht="81" customHeight="1">
      <c r="A742" s="14"/>
      <c r="F742" s="7"/>
      <c r="H742" s="12"/>
      <c r="I742" s="5"/>
      <c r="J742" s="6"/>
      <c r="M742" s="16"/>
    </row>
    <row r="743" spans="1:13" ht="81" customHeight="1">
      <c r="A743" s="14"/>
      <c r="F743" s="7"/>
      <c r="H743" s="12"/>
      <c r="I743" s="5"/>
      <c r="J743" s="6"/>
      <c r="M743" s="16"/>
    </row>
    <row r="744" spans="1:13" ht="81" customHeight="1">
      <c r="A744" s="14"/>
      <c r="F744" s="7"/>
      <c r="H744" s="12"/>
      <c r="I744" s="5"/>
      <c r="J744" s="6"/>
      <c r="M744" s="16"/>
    </row>
    <row r="745" spans="1:13" ht="81" customHeight="1">
      <c r="A745" s="14"/>
      <c r="F745" s="7"/>
      <c r="H745" s="12"/>
      <c r="I745" s="5"/>
      <c r="J745" s="6"/>
      <c r="M745" s="16"/>
    </row>
    <row r="746" spans="1:13" ht="81" customHeight="1">
      <c r="A746" s="14"/>
      <c r="F746" s="7"/>
      <c r="H746" s="12"/>
      <c r="I746" s="5"/>
      <c r="J746" s="6"/>
      <c r="M746" s="16"/>
    </row>
    <row r="747" spans="1:13" ht="81" customHeight="1">
      <c r="A747" s="14"/>
      <c r="F747" s="7"/>
      <c r="H747" s="12"/>
      <c r="I747" s="5"/>
      <c r="J747" s="6"/>
      <c r="M747" s="16"/>
    </row>
    <row r="748" spans="1:13" ht="81" customHeight="1">
      <c r="A748" s="14"/>
      <c r="F748" s="7"/>
      <c r="H748" s="12"/>
      <c r="I748" s="5"/>
      <c r="J748" s="6"/>
      <c r="M748" s="16"/>
    </row>
    <row r="749" spans="1:13" ht="81" customHeight="1">
      <c r="A749" s="14"/>
      <c r="F749" s="7"/>
      <c r="H749" s="12"/>
      <c r="I749" s="5"/>
      <c r="J749" s="6"/>
      <c r="M749" s="16"/>
    </row>
    <row r="750" spans="1:13" ht="81" customHeight="1">
      <c r="A750" s="14"/>
      <c r="F750" s="7"/>
      <c r="H750" s="12"/>
      <c r="I750" s="5"/>
      <c r="J750" s="6"/>
      <c r="M750" s="16"/>
    </row>
    <row r="751" spans="1:13" ht="81" customHeight="1">
      <c r="A751" s="14"/>
      <c r="F751" s="7"/>
      <c r="H751" s="12"/>
      <c r="I751" s="5"/>
      <c r="J751" s="6"/>
      <c r="M751" s="16"/>
    </row>
    <row r="752" spans="1:13" ht="81" customHeight="1">
      <c r="A752" s="14"/>
      <c r="F752" s="7"/>
      <c r="H752" s="12"/>
      <c r="I752" s="5"/>
      <c r="J752" s="6"/>
      <c r="M752" s="16"/>
    </row>
    <row r="753" spans="1:13" ht="81" customHeight="1">
      <c r="A753" s="14"/>
      <c r="F753" s="7"/>
      <c r="H753" s="12"/>
      <c r="I753" s="5"/>
      <c r="J753" s="6"/>
      <c r="M753" s="16"/>
    </row>
    <row r="754" spans="1:13" ht="81" customHeight="1">
      <c r="A754" s="14"/>
      <c r="F754" s="7"/>
      <c r="H754" s="12"/>
      <c r="I754" s="5"/>
      <c r="J754" s="6"/>
      <c r="M754" s="16"/>
    </row>
    <row r="755" spans="1:13" ht="81" customHeight="1">
      <c r="A755" s="14"/>
      <c r="F755" s="7"/>
      <c r="H755" s="12"/>
      <c r="I755" s="5"/>
      <c r="J755" s="6"/>
      <c r="M755" s="16"/>
    </row>
    <row r="756" spans="1:13" ht="81" customHeight="1">
      <c r="A756" s="14"/>
      <c r="F756" s="7"/>
      <c r="H756" s="12"/>
      <c r="I756" s="5"/>
      <c r="J756" s="6"/>
      <c r="M756" s="16"/>
    </row>
    <row r="757" spans="1:13" ht="81" customHeight="1">
      <c r="A757" s="14"/>
      <c r="F757" s="7"/>
      <c r="H757" s="12"/>
      <c r="I757" s="5"/>
      <c r="J757" s="6"/>
      <c r="M757" s="16"/>
    </row>
    <row r="758" spans="1:13" ht="81" customHeight="1">
      <c r="A758" s="14"/>
      <c r="F758" s="7"/>
      <c r="H758" s="12"/>
      <c r="I758" s="5"/>
      <c r="J758" s="6"/>
      <c r="M758" s="16"/>
    </row>
    <row r="759" spans="1:13" ht="81" customHeight="1">
      <c r="A759" s="14"/>
      <c r="F759" s="7"/>
      <c r="H759" s="12"/>
      <c r="I759" s="5"/>
      <c r="J759" s="6"/>
      <c r="M759" s="16"/>
    </row>
    <row r="760" spans="1:13" ht="81" customHeight="1">
      <c r="A760" s="14"/>
      <c r="F760" s="7"/>
      <c r="H760" s="12"/>
      <c r="I760" s="5"/>
      <c r="J760" s="6"/>
      <c r="M760" s="16"/>
    </row>
    <row r="761" spans="1:13" ht="81" customHeight="1">
      <c r="A761" s="14"/>
      <c r="F761" s="7"/>
      <c r="H761" s="12"/>
      <c r="I761" s="5"/>
      <c r="J761" s="6"/>
      <c r="M761" s="16"/>
    </row>
    <row r="762" spans="1:13" ht="81" customHeight="1">
      <c r="A762" s="14"/>
      <c r="F762" s="7"/>
      <c r="H762" s="12"/>
      <c r="I762" s="5"/>
      <c r="J762" s="6"/>
      <c r="M762" s="16"/>
    </row>
    <row r="763" spans="1:13" ht="81" customHeight="1">
      <c r="A763" s="14"/>
      <c r="F763" s="7"/>
      <c r="H763" s="12"/>
      <c r="I763" s="5"/>
      <c r="J763" s="6"/>
      <c r="M763" s="16"/>
    </row>
    <row r="764" spans="1:13" ht="81" customHeight="1">
      <c r="A764" s="14"/>
      <c r="F764" s="7"/>
      <c r="H764" s="12"/>
      <c r="I764" s="5"/>
      <c r="J764" s="6"/>
      <c r="M764" s="16"/>
    </row>
    <row r="765" spans="1:13" ht="81" customHeight="1">
      <c r="A765" s="14"/>
      <c r="F765" s="7"/>
      <c r="H765" s="12"/>
      <c r="I765" s="5"/>
      <c r="J765" s="6"/>
      <c r="M765" s="16"/>
    </row>
    <row r="766" spans="1:13" ht="81" customHeight="1">
      <c r="A766" s="14"/>
      <c r="F766" s="7"/>
      <c r="H766" s="12"/>
      <c r="I766" s="5"/>
      <c r="J766" s="6"/>
      <c r="M766" s="16"/>
    </row>
    <row r="767" spans="1:13" ht="81" customHeight="1">
      <c r="A767" s="14"/>
      <c r="F767" s="7"/>
      <c r="H767" s="12"/>
      <c r="I767" s="5"/>
      <c r="J767" s="6"/>
      <c r="M767" s="16"/>
    </row>
    <row r="768" spans="1:13" ht="81" customHeight="1">
      <c r="A768" s="14"/>
      <c r="F768" s="7"/>
      <c r="H768" s="12"/>
      <c r="I768" s="5"/>
      <c r="J768" s="6"/>
      <c r="M768" s="16"/>
    </row>
    <row r="769" spans="1:13" ht="81" customHeight="1">
      <c r="A769" s="14"/>
      <c r="F769" s="7"/>
      <c r="H769" s="12"/>
      <c r="I769" s="5"/>
      <c r="J769" s="6"/>
      <c r="M769" s="16"/>
    </row>
    <row r="770" spans="1:13" ht="81" customHeight="1">
      <c r="A770" s="14"/>
      <c r="F770" s="7"/>
      <c r="H770" s="12"/>
      <c r="I770" s="5"/>
      <c r="J770" s="6"/>
      <c r="M770" s="16"/>
    </row>
    <row r="771" spans="1:13" ht="81" customHeight="1">
      <c r="A771" s="14"/>
      <c r="F771" s="7"/>
      <c r="H771" s="12"/>
      <c r="I771" s="5"/>
      <c r="J771" s="6"/>
      <c r="M771" s="16"/>
    </row>
    <row r="772" spans="1:13" ht="81" customHeight="1">
      <c r="A772" s="14"/>
      <c r="F772" s="7"/>
      <c r="H772" s="12"/>
      <c r="I772" s="5"/>
      <c r="J772" s="6"/>
      <c r="M772" s="16"/>
    </row>
    <row r="773" spans="1:13" ht="81" customHeight="1">
      <c r="A773" s="14"/>
      <c r="F773" s="7"/>
      <c r="H773" s="12"/>
      <c r="I773" s="5"/>
      <c r="J773" s="6"/>
      <c r="M773" s="16"/>
    </row>
    <row r="774" spans="1:13" ht="81" customHeight="1">
      <c r="A774" s="14"/>
      <c r="F774" s="7"/>
      <c r="H774" s="12"/>
      <c r="I774" s="5"/>
      <c r="J774" s="6"/>
      <c r="M774" s="16"/>
    </row>
    <row r="775" spans="1:13" ht="81" customHeight="1">
      <c r="A775" s="14"/>
      <c r="F775" s="7"/>
      <c r="H775" s="12"/>
      <c r="I775" s="5"/>
      <c r="J775" s="6"/>
      <c r="M775" s="16"/>
    </row>
    <row r="776" spans="1:13" ht="81" customHeight="1">
      <c r="A776" s="14"/>
      <c r="F776" s="7"/>
      <c r="H776" s="12"/>
      <c r="I776" s="5"/>
      <c r="J776" s="6"/>
      <c r="M776" s="16"/>
    </row>
    <row r="777" spans="1:13" ht="81" customHeight="1">
      <c r="A777" s="14"/>
      <c r="F777" s="7"/>
      <c r="H777" s="12"/>
      <c r="I777" s="5"/>
      <c r="J777" s="6"/>
      <c r="M777" s="16"/>
    </row>
    <row r="778" spans="1:13" ht="81" customHeight="1">
      <c r="A778" s="14"/>
      <c r="F778" s="7"/>
      <c r="H778" s="12"/>
      <c r="I778" s="5"/>
      <c r="J778" s="6"/>
      <c r="M778" s="16"/>
    </row>
    <row r="779" spans="1:13" ht="81" customHeight="1">
      <c r="A779" s="14"/>
      <c r="F779" s="7"/>
      <c r="H779" s="12"/>
      <c r="I779" s="5"/>
      <c r="J779" s="6"/>
      <c r="M779" s="16"/>
    </row>
    <row r="780" spans="1:13" ht="81" customHeight="1">
      <c r="A780" s="14"/>
      <c r="F780" s="7"/>
      <c r="H780" s="12"/>
      <c r="I780" s="5"/>
      <c r="J780" s="6"/>
      <c r="M780" s="16"/>
    </row>
    <row r="781" spans="1:13" ht="81" customHeight="1">
      <c r="A781" s="14"/>
      <c r="F781" s="7"/>
      <c r="H781" s="12"/>
      <c r="I781" s="5"/>
      <c r="J781" s="6"/>
      <c r="M781" s="16"/>
    </row>
    <row r="782" spans="1:13" ht="81" customHeight="1">
      <c r="A782" s="14"/>
      <c r="F782" s="7"/>
      <c r="H782" s="12"/>
      <c r="I782" s="5"/>
      <c r="J782" s="6"/>
      <c r="M782" s="16"/>
    </row>
    <row r="783" spans="1:13" ht="81" customHeight="1">
      <c r="A783" s="14"/>
      <c r="F783" s="7"/>
      <c r="H783" s="12"/>
      <c r="I783" s="5"/>
      <c r="J783" s="6"/>
      <c r="M783" s="16"/>
    </row>
    <row r="784" spans="1:13" ht="81" customHeight="1">
      <c r="A784" s="14"/>
      <c r="F784" s="7"/>
      <c r="H784" s="12"/>
      <c r="I784" s="5"/>
      <c r="J784" s="6"/>
      <c r="M784" s="16"/>
    </row>
    <row r="785" spans="1:13" ht="81" customHeight="1">
      <c r="A785" s="14"/>
      <c r="F785" s="7"/>
      <c r="H785" s="12"/>
      <c r="I785" s="5"/>
      <c r="J785" s="6"/>
      <c r="M785" s="16"/>
    </row>
    <row r="786" spans="1:13" ht="81" customHeight="1">
      <c r="A786" s="14"/>
      <c r="F786" s="7"/>
      <c r="H786" s="12"/>
      <c r="I786" s="5"/>
      <c r="J786" s="6"/>
      <c r="M786" s="16"/>
    </row>
    <row r="787" spans="1:13" ht="81" customHeight="1">
      <c r="A787" s="14"/>
      <c r="F787" s="7"/>
      <c r="H787" s="12"/>
      <c r="I787" s="5"/>
      <c r="J787" s="6"/>
      <c r="M787" s="16"/>
    </row>
    <row r="788" spans="1:13" ht="81" customHeight="1">
      <c r="A788" s="14"/>
      <c r="F788" s="7"/>
      <c r="H788" s="12"/>
      <c r="I788" s="5"/>
      <c r="J788" s="6"/>
      <c r="M788" s="16"/>
    </row>
    <row r="789" spans="1:13" ht="81" customHeight="1">
      <c r="A789" s="14"/>
      <c r="F789" s="7"/>
      <c r="H789" s="12"/>
      <c r="I789" s="5"/>
      <c r="J789" s="6"/>
      <c r="M789" s="16"/>
    </row>
    <row r="790" spans="1:13" ht="81" customHeight="1">
      <c r="A790" s="14"/>
      <c r="F790" s="7"/>
      <c r="H790" s="12"/>
      <c r="I790" s="5"/>
      <c r="J790" s="6"/>
      <c r="M790" s="16"/>
    </row>
    <row r="791" spans="1:13" ht="81" customHeight="1">
      <c r="A791" s="14"/>
      <c r="F791" s="7"/>
      <c r="H791" s="12"/>
      <c r="I791" s="5"/>
      <c r="J791" s="6"/>
      <c r="M791" s="16"/>
    </row>
    <row r="792" spans="1:13" ht="81" customHeight="1">
      <c r="A792" s="14"/>
      <c r="F792" s="7"/>
      <c r="H792" s="12"/>
      <c r="I792" s="5"/>
      <c r="J792" s="6"/>
      <c r="M792" s="16"/>
    </row>
    <row r="793" spans="1:13" ht="81" customHeight="1">
      <c r="A793" s="14"/>
      <c r="F793" s="7"/>
      <c r="H793" s="12"/>
      <c r="I793" s="5"/>
      <c r="J793" s="6"/>
      <c r="M793" s="16"/>
    </row>
    <row r="794" spans="1:13" ht="81" customHeight="1">
      <c r="A794" s="14"/>
      <c r="F794" s="7"/>
      <c r="H794" s="12"/>
      <c r="I794" s="5"/>
      <c r="J794" s="6"/>
      <c r="M794" s="16"/>
    </row>
    <row r="795" spans="1:13" ht="81" customHeight="1">
      <c r="A795" s="14"/>
      <c r="F795" s="7"/>
      <c r="H795" s="12"/>
      <c r="I795" s="5"/>
      <c r="J795" s="6"/>
      <c r="M795" s="16"/>
    </row>
    <row r="796" spans="1:13" ht="81" customHeight="1">
      <c r="A796" s="14"/>
      <c r="F796" s="7"/>
      <c r="H796" s="12"/>
      <c r="I796" s="5"/>
      <c r="J796" s="6"/>
      <c r="M796" s="16"/>
    </row>
    <row r="797" spans="1:13" ht="81" customHeight="1">
      <c r="A797" s="14"/>
      <c r="F797" s="7"/>
      <c r="H797" s="12"/>
      <c r="I797" s="5"/>
      <c r="J797" s="6"/>
      <c r="M797" s="16"/>
    </row>
    <row r="798" spans="1:13" ht="81" customHeight="1">
      <c r="A798" s="14"/>
      <c r="F798" s="7"/>
      <c r="H798" s="12"/>
      <c r="I798" s="5"/>
      <c r="J798" s="6"/>
      <c r="M798" s="16"/>
    </row>
    <row r="799" spans="1:13" ht="81" customHeight="1">
      <c r="A799" s="14"/>
      <c r="F799" s="7"/>
      <c r="H799" s="12"/>
      <c r="I799" s="5"/>
      <c r="J799" s="6"/>
      <c r="M799" s="16"/>
    </row>
    <row r="800" spans="1:13" ht="81" customHeight="1">
      <c r="A800" s="14"/>
      <c r="F800" s="7"/>
      <c r="H800" s="12"/>
      <c r="I800" s="5"/>
      <c r="J800" s="6"/>
      <c r="M800" s="16"/>
    </row>
    <row r="801" spans="1:13" ht="81" customHeight="1">
      <c r="A801" s="14"/>
      <c r="F801" s="7"/>
      <c r="H801" s="12"/>
      <c r="I801" s="5"/>
      <c r="J801" s="6"/>
      <c r="M801" s="16"/>
    </row>
    <row r="802" spans="1:13" ht="81" customHeight="1">
      <c r="A802" s="14"/>
      <c r="F802" s="7"/>
      <c r="H802" s="12"/>
      <c r="I802" s="5"/>
      <c r="J802" s="6"/>
      <c r="M802" s="16"/>
    </row>
    <row r="803" spans="1:13" ht="81" customHeight="1">
      <c r="A803" s="14"/>
      <c r="F803" s="7"/>
      <c r="H803" s="12"/>
      <c r="I803" s="5"/>
      <c r="J803" s="6"/>
      <c r="M803" s="16"/>
    </row>
    <row r="804" spans="1:13" ht="81" customHeight="1">
      <c r="A804" s="14"/>
      <c r="F804" s="7"/>
      <c r="H804" s="12"/>
      <c r="I804" s="5"/>
      <c r="J804" s="6"/>
      <c r="M804" s="16"/>
    </row>
    <row r="805" spans="1:13" ht="81" customHeight="1">
      <c r="A805" s="14"/>
      <c r="F805" s="7"/>
      <c r="H805" s="12"/>
      <c r="I805" s="5"/>
      <c r="J805" s="6"/>
      <c r="M805" s="16"/>
    </row>
    <row r="806" spans="1:13" ht="81" customHeight="1">
      <c r="A806" s="14"/>
      <c r="F806" s="7"/>
      <c r="H806" s="12"/>
      <c r="I806" s="5"/>
      <c r="J806" s="6"/>
      <c r="M806" s="16"/>
    </row>
    <row r="807" spans="1:13" ht="81" customHeight="1">
      <c r="A807" s="14"/>
      <c r="F807" s="7"/>
      <c r="H807" s="12"/>
      <c r="I807" s="5"/>
      <c r="J807" s="6"/>
      <c r="M807" s="16"/>
    </row>
    <row r="808" spans="1:13" ht="81" customHeight="1">
      <c r="A808" s="14"/>
      <c r="F808" s="7"/>
      <c r="H808" s="12"/>
      <c r="I808" s="5"/>
      <c r="J808" s="6"/>
      <c r="M808" s="16"/>
    </row>
    <row r="809" spans="1:13" ht="81" customHeight="1">
      <c r="A809" s="14"/>
      <c r="F809" s="7"/>
      <c r="H809" s="12"/>
      <c r="I809" s="5"/>
      <c r="J809" s="6"/>
      <c r="M809" s="16"/>
    </row>
    <row r="810" spans="1:13" ht="81" customHeight="1">
      <c r="A810" s="14"/>
      <c r="F810" s="7"/>
      <c r="H810" s="12"/>
      <c r="I810" s="5"/>
      <c r="J810" s="6"/>
      <c r="M810" s="16"/>
    </row>
    <row r="811" spans="1:13" ht="81" customHeight="1">
      <c r="A811" s="14"/>
      <c r="F811" s="7"/>
      <c r="H811" s="12"/>
      <c r="I811" s="5"/>
      <c r="J811" s="6"/>
      <c r="M811" s="16"/>
    </row>
    <row r="812" spans="1:13" ht="81" customHeight="1">
      <c r="A812" s="14"/>
      <c r="F812" s="7"/>
      <c r="H812" s="12"/>
      <c r="I812" s="5"/>
      <c r="J812" s="6"/>
      <c r="M812" s="16"/>
    </row>
    <row r="813" spans="1:13" ht="81" customHeight="1">
      <c r="A813" s="14"/>
      <c r="F813" s="7"/>
      <c r="H813" s="12"/>
      <c r="I813" s="5"/>
      <c r="J813" s="6"/>
      <c r="M813" s="16"/>
    </row>
    <row r="814" spans="1:13" ht="81" customHeight="1">
      <c r="A814" s="14"/>
      <c r="F814" s="7"/>
      <c r="H814" s="12"/>
      <c r="I814" s="5"/>
      <c r="J814" s="6"/>
      <c r="M814" s="16"/>
    </row>
    <row r="815" spans="1:13" ht="81" customHeight="1">
      <c r="A815" s="14"/>
      <c r="F815" s="7"/>
      <c r="H815" s="12"/>
      <c r="I815" s="5"/>
      <c r="J815" s="6"/>
      <c r="M815" s="16"/>
    </row>
    <row r="816" spans="1:13" ht="81" customHeight="1">
      <c r="A816" s="14"/>
      <c r="F816" s="7"/>
      <c r="H816" s="12"/>
      <c r="I816" s="5"/>
      <c r="J816" s="6"/>
      <c r="M816" s="16"/>
    </row>
    <row r="817" spans="1:13" ht="81" customHeight="1">
      <c r="A817" s="14"/>
      <c r="F817" s="7"/>
      <c r="H817" s="12"/>
      <c r="I817" s="5"/>
      <c r="J817" s="6"/>
      <c r="M817" s="16"/>
    </row>
    <row r="818" spans="1:13" ht="81" customHeight="1">
      <c r="A818" s="14"/>
      <c r="F818" s="7"/>
      <c r="H818" s="12"/>
      <c r="I818" s="5"/>
      <c r="J818" s="6"/>
      <c r="M818" s="16"/>
    </row>
    <row r="819" spans="1:13" ht="81" customHeight="1">
      <c r="A819" s="14"/>
      <c r="F819" s="7"/>
      <c r="H819" s="12"/>
      <c r="I819" s="5"/>
      <c r="J819" s="6"/>
      <c r="M819" s="16"/>
    </row>
    <row r="820" spans="1:13" ht="81" customHeight="1">
      <c r="A820" s="14"/>
      <c r="F820" s="7"/>
      <c r="H820" s="12"/>
      <c r="I820" s="5"/>
      <c r="J820" s="6"/>
      <c r="M820" s="16"/>
    </row>
    <row r="821" spans="1:13" ht="81" customHeight="1">
      <c r="A821" s="14"/>
      <c r="F821" s="7"/>
      <c r="H821" s="12"/>
      <c r="I821" s="5"/>
      <c r="J821" s="6"/>
      <c r="M821" s="16"/>
    </row>
    <row r="822" spans="1:13" ht="81" customHeight="1">
      <c r="A822" s="14"/>
      <c r="F822" s="7"/>
      <c r="H822" s="12"/>
      <c r="I822" s="5"/>
      <c r="J822" s="6"/>
      <c r="M822" s="16"/>
    </row>
    <row r="823" spans="1:13" ht="81" customHeight="1">
      <c r="A823" s="14"/>
      <c r="F823" s="7"/>
      <c r="H823" s="12"/>
      <c r="I823" s="5"/>
      <c r="J823" s="6"/>
      <c r="M823" s="16"/>
    </row>
    <row r="824" spans="1:13" ht="81" customHeight="1">
      <c r="A824" s="14"/>
      <c r="F824" s="7"/>
      <c r="H824" s="12"/>
      <c r="I824" s="5"/>
      <c r="J824" s="6"/>
      <c r="M824" s="16"/>
    </row>
    <row r="825" spans="1:13" ht="81" customHeight="1">
      <c r="A825" s="14"/>
      <c r="F825" s="7"/>
      <c r="H825" s="12"/>
      <c r="I825" s="5"/>
      <c r="J825" s="6"/>
      <c r="M825" s="16"/>
    </row>
    <row r="826" spans="1:13" ht="81" customHeight="1">
      <c r="A826" s="14"/>
      <c r="F826" s="7"/>
      <c r="H826" s="12"/>
      <c r="I826" s="5"/>
      <c r="J826" s="6"/>
      <c r="M826" s="16"/>
    </row>
    <row r="827" spans="1:13" ht="81" customHeight="1">
      <c r="A827" s="14"/>
      <c r="F827" s="7"/>
      <c r="H827" s="12"/>
      <c r="I827" s="5"/>
      <c r="J827" s="6"/>
      <c r="M827" s="16"/>
    </row>
    <row r="828" spans="1:13" ht="81" customHeight="1">
      <c r="A828" s="14"/>
      <c r="F828" s="7"/>
      <c r="H828" s="12"/>
      <c r="I828" s="5"/>
      <c r="J828" s="6"/>
      <c r="M828" s="16"/>
    </row>
    <row r="829" spans="1:13" ht="81" customHeight="1">
      <c r="A829" s="14"/>
      <c r="F829" s="7"/>
      <c r="H829" s="12"/>
      <c r="I829" s="5"/>
      <c r="J829" s="6"/>
      <c r="M829" s="16"/>
    </row>
    <row r="830" spans="1:13" ht="81" customHeight="1">
      <c r="A830" s="14"/>
      <c r="F830" s="7"/>
      <c r="H830" s="12"/>
      <c r="I830" s="5"/>
      <c r="J830" s="6"/>
      <c r="M830" s="16"/>
    </row>
    <row r="831" spans="1:13" ht="81" customHeight="1">
      <c r="A831" s="14"/>
      <c r="F831" s="7"/>
      <c r="H831" s="12"/>
      <c r="I831" s="5"/>
      <c r="J831" s="6"/>
      <c r="M831" s="16"/>
    </row>
    <row r="832" spans="1:13" ht="81" customHeight="1">
      <c r="A832" s="14"/>
      <c r="F832" s="7"/>
      <c r="H832" s="12"/>
      <c r="I832" s="5"/>
      <c r="J832" s="6"/>
      <c r="M832" s="16"/>
    </row>
    <row r="833" spans="1:13" ht="81" customHeight="1">
      <c r="A833" s="14"/>
      <c r="F833" s="7"/>
      <c r="H833" s="12"/>
      <c r="I833" s="5"/>
      <c r="J833" s="6"/>
      <c r="M833" s="16"/>
    </row>
    <row r="834" spans="1:13" ht="81" customHeight="1">
      <c r="A834" s="14"/>
      <c r="F834" s="7"/>
      <c r="H834" s="12"/>
      <c r="I834" s="5"/>
      <c r="J834" s="6"/>
      <c r="M834" s="16"/>
    </row>
    <row r="835" spans="1:13" ht="81" customHeight="1">
      <c r="A835" s="14"/>
      <c r="F835" s="7"/>
      <c r="H835" s="12"/>
      <c r="I835" s="5"/>
      <c r="J835" s="6"/>
      <c r="M835" s="16"/>
    </row>
    <row r="836" spans="1:13" ht="81" customHeight="1">
      <c r="A836" s="14"/>
      <c r="F836" s="7"/>
      <c r="H836" s="12"/>
      <c r="I836" s="5"/>
      <c r="J836" s="6"/>
      <c r="M836" s="16"/>
    </row>
    <row r="837" spans="1:13" ht="81" customHeight="1">
      <c r="A837" s="14"/>
      <c r="F837" s="7"/>
      <c r="H837" s="12"/>
      <c r="I837" s="5"/>
      <c r="J837" s="6"/>
      <c r="M837" s="16"/>
    </row>
    <row r="838" spans="1:13" ht="81" customHeight="1">
      <c r="A838" s="14"/>
      <c r="F838" s="7"/>
      <c r="H838" s="12"/>
      <c r="I838" s="5"/>
      <c r="J838" s="6"/>
      <c r="M838" s="16"/>
    </row>
    <row r="839" spans="1:13" ht="81" customHeight="1">
      <c r="A839" s="14"/>
      <c r="F839" s="7"/>
      <c r="H839" s="12"/>
      <c r="I839" s="5"/>
      <c r="J839" s="6"/>
      <c r="M839" s="16"/>
    </row>
    <row r="840" spans="1:13" ht="81" customHeight="1">
      <c r="A840" s="14"/>
      <c r="F840" s="7"/>
      <c r="H840" s="12"/>
      <c r="I840" s="5"/>
      <c r="J840" s="6"/>
      <c r="M840" s="16"/>
    </row>
    <row r="841" spans="1:13" ht="81" customHeight="1">
      <c r="A841" s="14"/>
      <c r="F841" s="7"/>
      <c r="H841" s="12"/>
      <c r="I841" s="5"/>
      <c r="J841" s="6"/>
      <c r="M841" s="16"/>
    </row>
    <row r="842" spans="1:13" ht="81" customHeight="1">
      <c r="A842" s="14"/>
      <c r="F842" s="7"/>
      <c r="H842" s="12"/>
      <c r="I842" s="5"/>
      <c r="J842" s="6"/>
      <c r="M842" s="16"/>
    </row>
    <row r="843" spans="1:13" ht="81" customHeight="1">
      <c r="A843" s="14"/>
      <c r="F843" s="7"/>
      <c r="H843" s="12"/>
      <c r="I843" s="5"/>
      <c r="J843" s="6"/>
      <c r="M843" s="16"/>
    </row>
    <row r="844" spans="1:13" ht="81" customHeight="1">
      <c r="A844" s="14"/>
      <c r="F844" s="7"/>
      <c r="H844" s="12"/>
      <c r="I844" s="5"/>
      <c r="J844" s="6"/>
      <c r="M844" s="16"/>
    </row>
    <row r="845" spans="1:13" ht="81" customHeight="1">
      <c r="A845" s="14"/>
      <c r="F845" s="7"/>
      <c r="H845" s="12"/>
      <c r="I845" s="5"/>
      <c r="J845" s="6"/>
      <c r="M845" s="16"/>
    </row>
    <row r="846" spans="1:13" ht="81" customHeight="1">
      <c r="A846" s="14"/>
      <c r="F846" s="7"/>
      <c r="H846" s="12"/>
      <c r="I846" s="5"/>
      <c r="J846" s="6"/>
      <c r="M846" s="16"/>
    </row>
    <row r="847" spans="1:13" ht="81" customHeight="1">
      <c r="A847" s="14"/>
      <c r="F847" s="7"/>
      <c r="H847" s="12"/>
      <c r="I847" s="5"/>
      <c r="J847" s="6"/>
      <c r="M847" s="16"/>
    </row>
    <row r="848" spans="1:13" ht="81" customHeight="1">
      <c r="A848" s="14"/>
      <c r="F848" s="7"/>
      <c r="H848" s="12"/>
      <c r="I848" s="5"/>
      <c r="J848" s="6"/>
      <c r="M848" s="16"/>
    </row>
    <row r="849" spans="1:13" ht="81" customHeight="1">
      <c r="A849" s="14"/>
      <c r="F849" s="7"/>
      <c r="H849" s="12"/>
      <c r="I849" s="5"/>
      <c r="J849" s="6"/>
      <c r="M849" s="16"/>
    </row>
    <row r="850" spans="1:13" ht="81" customHeight="1">
      <c r="A850" s="14"/>
      <c r="F850" s="7"/>
      <c r="H850" s="12"/>
      <c r="I850" s="5"/>
      <c r="J850" s="6"/>
      <c r="M850" s="16"/>
    </row>
    <row r="851" spans="1:13" ht="81" customHeight="1">
      <c r="A851" s="14"/>
      <c r="F851" s="7"/>
      <c r="H851" s="12"/>
      <c r="I851" s="5"/>
      <c r="J851" s="6"/>
      <c r="M851" s="16"/>
    </row>
    <row r="852" spans="1:13" ht="81" customHeight="1">
      <c r="A852" s="14"/>
      <c r="F852" s="7"/>
      <c r="H852" s="12"/>
      <c r="I852" s="5"/>
      <c r="J852" s="6"/>
      <c r="M852" s="16"/>
    </row>
    <row r="853" spans="1:13" ht="81" customHeight="1">
      <c r="A853" s="14"/>
      <c r="F853" s="7"/>
      <c r="H853" s="12"/>
      <c r="I853" s="5"/>
      <c r="J853" s="6"/>
      <c r="M853" s="16"/>
    </row>
    <row r="854" spans="1:13" ht="81" customHeight="1">
      <c r="A854" s="14"/>
      <c r="F854" s="7"/>
      <c r="H854" s="12"/>
      <c r="I854" s="5"/>
      <c r="J854" s="6"/>
      <c r="M854" s="16"/>
    </row>
    <row r="855" spans="1:13" ht="81" customHeight="1">
      <c r="A855" s="14"/>
      <c r="F855" s="7"/>
      <c r="H855" s="12"/>
      <c r="I855" s="5"/>
      <c r="J855" s="6"/>
      <c r="M855" s="16"/>
    </row>
    <row r="856" spans="1:13" ht="81" customHeight="1">
      <c r="A856" s="14"/>
      <c r="F856" s="7"/>
      <c r="H856" s="12"/>
      <c r="I856" s="5"/>
      <c r="J856" s="6"/>
      <c r="M856" s="16"/>
    </row>
    <row r="857" spans="1:13" ht="81" customHeight="1">
      <c r="A857" s="14"/>
      <c r="F857" s="7"/>
      <c r="H857" s="12"/>
      <c r="I857" s="5"/>
      <c r="J857" s="6"/>
      <c r="M857" s="16"/>
    </row>
    <row r="858" spans="1:13" ht="81" customHeight="1">
      <c r="A858" s="14"/>
      <c r="F858" s="7"/>
      <c r="H858" s="12"/>
      <c r="I858" s="5"/>
      <c r="J858" s="6"/>
      <c r="M858" s="16"/>
    </row>
    <row r="859" spans="1:13" ht="81" customHeight="1">
      <c r="A859" s="14"/>
      <c r="F859" s="7"/>
      <c r="H859" s="12"/>
      <c r="I859" s="5"/>
      <c r="J859" s="6"/>
      <c r="M859" s="16"/>
    </row>
    <row r="860" spans="1:13" ht="81" customHeight="1">
      <c r="A860" s="14"/>
      <c r="F860" s="7"/>
      <c r="H860" s="12"/>
      <c r="I860" s="5"/>
      <c r="J860" s="6"/>
      <c r="M860" s="16"/>
    </row>
    <row r="861" spans="1:13" ht="81" customHeight="1">
      <c r="A861" s="14"/>
      <c r="F861" s="7"/>
      <c r="H861" s="12"/>
      <c r="I861" s="5"/>
      <c r="J861" s="6"/>
      <c r="M861" s="16"/>
    </row>
    <row r="862" spans="1:13" ht="81" customHeight="1">
      <c r="A862" s="14"/>
      <c r="F862" s="7"/>
      <c r="H862" s="12"/>
      <c r="I862" s="5"/>
      <c r="J862" s="6"/>
      <c r="M862" s="16"/>
    </row>
    <row r="863" spans="1:13" ht="81" customHeight="1">
      <c r="A863" s="14"/>
      <c r="F863" s="7"/>
      <c r="H863" s="12"/>
      <c r="I863" s="5"/>
      <c r="J863" s="6"/>
      <c r="M863" s="16"/>
    </row>
    <row r="864" spans="1:13" ht="81" customHeight="1">
      <c r="A864" s="14"/>
      <c r="F864" s="7"/>
      <c r="H864" s="12"/>
      <c r="I864" s="5"/>
      <c r="J864" s="6"/>
      <c r="M864" s="16"/>
    </row>
    <row r="865" spans="1:13" ht="81" customHeight="1">
      <c r="A865" s="14"/>
      <c r="F865" s="7"/>
      <c r="H865" s="12"/>
      <c r="I865" s="5"/>
      <c r="J865" s="6"/>
      <c r="M865" s="16"/>
    </row>
    <row r="866" spans="1:13" ht="81" customHeight="1">
      <c r="A866" s="14"/>
      <c r="F866" s="7"/>
      <c r="H866" s="12"/>
      <c r="I866" s="5"/>
      <c r="J866" s="6"/>
      <c r="M866" s="16"/>
    </row>
    <row r="867" spans="1:13" ht="81" customHeight="1">
      <c r="A867" s="14"/>
      <c r="F867" s="7"/>
      <c r="H867" s="12"/>
      <c r="I867" s="5"/>
      <c r="J867" s="6"/>
      <c r="M867" s="16"/>
    </row>
    <row r="868" spans="1:13" ht="81" customHeight="1">
      <c r="A868" s="14"/>
      <c r="F868" s="7"/>
      <c r="H868" s="12"/>
      <c r="I868" s="5"/>
      <c r="J868" s="6"/>
      <c r="M868" s="16"/>
    </row>
    <row r="869" spans="1:13" ht="81" customHeight="1">
      <c r="A869" s="14"/>
      <c r="F869" s="7"/>
      <c r="H869" s="12"/>
      <c r="I869" s="5"/>
      <c r="J869" s="6"/>
      <c r="M869" s="16"/>
    </row>
    <row r="870" spans="1:13" ht="81" customHeight="1">
      <c r="A870" s="14"/>
      <c r="F870" s="7"/>
      <c r="H870" s="12"/>
      <c r="I870" s="5"/>
      <c r="J870" s="6"/>
      <c r="M870" s="16"/>
    </row>
    <row r="871" spans="1:13" ht="81" customHeight="1">
      <c r="A871" s="14"/>
      <c r="F871" s="7"/>
      <c r="H871" s="12"/>
      <c r="I871" s="5"/>
      <c r="J871" s="6"/>
      <c r="M871" s="16"/>
    </row>
    <row r="872" spans="1:13" ht="81" customHeight="1">
      <c r="A872" s="14"/>
      <c r="F872" s="7"/>
      <c r="H872" s="12"/>
      <c r="I872" s="5"/>
      <c r="J872" s="6"/>
      <c r="M872" s="16"/>
    </row>
    <row r="873" spans="1:13" ht="81" customHeight="1">
      <c r="A873" s="14"/>
      <c r="F873" s="7"/>
      <c r="H873" s="12"/>
      <c r="I873" s="5"/>
      <c r="J873" s="6"/>
      <c r="M873" s="16"/>
    </row>
    <row r="874" spans="1:13" ht="81" customHeight="1">
      <c r="A874" s="14"/>
      <c r="F874" s="7"/>
      <c r="H874" s="12"/>
      <c r="I874" s="5"/>
      <c r="J874" s="6"/>
      <c r="M874" s="16"/>
    </row>
    <row r="875" spans="1:13" ht="81" customHeight="1">
      <c r="A875" s="14"/>
      <c r="F875" s="7"/>
      <c r="H875" s="12"/>
      <c r="I875" s="5"/>
      <c r="J875" s="6"/>
      <c r="M875" s="16"/>
    </row>
    <row r="876" spans="1:13" ht="81" customHeight="1">
      <c r="A876" s="14"/>
      <c r="F876" s="7"/>
      <c r="H876" s="12"/>
      <c r="I876" s="5"/>
      <c r="J876" s="6"/>
      <c r="M876" s="16"/>
    </row>
    <row r="877" spans="1:13" ht="81" customHeight="1">
      <c r="A877" s="14"/>
      <c r="F877" s="7"/>
      <c r="H877" s="12"/>
      <c r="I877" s="5"/>
      <c r="J877" s="6"/>
      <c r="M877" s="16"/>
    </row>
    <row r="878" spans="1:13" ht="81" customHeight="1">
      <c r="A878" s="14"/>
      <c r="F878" s="7"/>
      <c r="H878" s="12"/>
      <c r="I878" s="5"/>
      <c r="J878" s="6"/>
      <c r="M878" s="16"/>
    </row>
    <row r="879" spans="1:13" ht="81" customHeight="1">
      <c r="A879" s="14"/>
      <c r="F879" s="7"/>
      <c r="H879" s="12"/>
      <c r="I879" s="5"/>
      <c r="J879" s="6"/>
      <c r="M879" s="16"/>
    </row>
    <row r="880" spans="1:13" ht="81" customHeight="1">
      <c r="A880" s="14"/>
      <c r="F880" s="7"/>
      <c r="H880" s="12"/>
      <c r="I880" s="5"/>
      <c r="J880" s="6"/>
      <c r="M880" s="16"/>
    </row>
    <row r="881" spans="1:13" ht="81" customHeight="1">
      <c r="A881" s="14"/>
      <c r="F881" s="7"/>
      <c r="H881" s="12"/>
      <c r="I881" s="5"/>
      <c r="J881" s="6"/>
      <c r="M881" s="16"/>
    </row>
    <row r="882" spans="1:13" ht="81" customHeight="1">
      <c r="A882" s="14"/>
      <c r="F882" s="7"/>
      <c r="H882" s="12"/>
      <c r="I882" s="5"/>
      <c r="J882" s="6"/>
      <c r="M882" s="16"/>
    </row>
    <row r="883" spans="1:13" ht="81" customHeight="1">
      <c r="A883" s="14"/>
      <c r="F883" s="7"/>
      <c r="H883" s="12"/>
      <c r="I883" s="5"/>
      <c r="J883" s="6"/>
      <c r="M883" s="16"/>
    </row>
    <row r="884" spans="1:13" ht="81" customHeight="1">
      <c r="A884" s="14"/>
      <c r="F884" s="7"/>
      <c r="H884" s="12"/>
      <c r="I884" s="5"/>
      <c r="J884" s="6"/>
      <c r="M884" s="16"/>
    </row>
    <row r="885" spans="1:13" ht="81" customHeight="1">
      <c r="A885" s="14"/>
      <c r="F885" s="7"/>
      <c r="H885" s="12"/>
      <c r="I885" s="5"/>
      <c r="J885" s="6"/>
      <c r="M885" s="16"/>
    </row>
    <row r="886" spans="1:13" ht="81" customHeight="1">
      <c r="A886" s="14"/>
      <c r="F886" s="7"/>
      <c r="H886" s="12"/>
      <c r="I886" s="5"/>
      <c r="J886" s="6"/>
      <c r="M886" s="16"/>
    </row>
    <row r="887" spans="1:13" ht="81" customHeight="1">
      <c r="A887" s="14"/>
      <c r="F887" s="7"/>
      <c r="H887" s="12"/>
      <c r="I887" s="5"/>
      <c r="J887" s="6"/>
      <c r="M887" s="16"/>
    </row>
    <row r="888" spans="1:13" ht="81" customHeight="1">
      <c r="A888" s="14"/>
      <c r="F888" s="7"/>
      <c r="H888" s="12"/>
      <c r="I888" s="5"/>
      <c r="J888" s="6"/>
      <c r="M888" s="16"/>
    </row>
    <row r="889" spans="1:13" ht="81" customHeight="1">
      <c r="A889" s="14"/>
      <c r="F889" s="7"/>
      <c r="H889" s="12"/>
      <c r="I889" s="5"/>
      <c r="J889" s="6"/>
      <c r="M889" s="16"/>
    </row>
    <row r="890" spans="1:13" ht="81" customHeight="1">
      <c r="A890" s="14"/>
      <c r="F890" s="7"/>
      <c r="H890" s="12"/>
      <c r="I890" s="5"/>
      <c r="J890" s="6"/>
      <c r="M890" s="16"/>
    </row>
    <row r="891" spans="1:13" ht="81" customHeight="1">
      <c r="A891" s="14"/>
      <c r="F891" s="7"/>
      <c r="H891" s="12"/>
      <c r="I891" s="5"/>
      <c r="J891" s="6"/>
      <c r="M891" s="16"/>
    </row>
    <row r="892" spans="1:13" ht="81" customHeight="1">
      <c r="A892" s="14"/>
      <c r="F892" s="7"/>
      <c r="H892" s="12"/>
      <c r="I892" s="5"/>
      <c r="J892" s="6"/>
      <c r="M892" s="16"/>
    </row>
    <row r="893" spans="1:13" ht="81" customHeight="1">
      <c r="A893" s="14"/>
      <c r="F893" s="7"/>
      <c r="H893" s="12"/>
      <c r="I893" s="5"/>
      <c r="J893" s="6"/>
      <c r="M893" s="16"/>
    </row>
    <row r="894" spans="1:13" ht="81" customHeight="1">
      <c r="A894" s="14"/>
      <c r="F894" s="7"/>
      <c r="H894" s="12"/>
      <c r="I894" s="5"/>
      <c r="J894" s="6"/>
      <c r="M894" s="16"/>
    </row>
    <row r="895" spans="1:13" ht="81" customHeight="1">
      <c r="A895" s="14"/>
      <c r="F895" s="7"/>
      <c r="H895" s="12"/>
      <c r="I895" s="5"/>
      <c r="J895" s="6"/>
      <c r="M895" s="16"/>
    </row>
    <row r="896" spans="1:13" ht="81" customHeight="1">
      <c r="A896" s="14"/>
      <c r="F896" s="7"/>
      <c r="H896" s="12"/>
      <c r="I896" s="5"/>
      <c r="J896" s="6"/>
      <c r="M896" s="16"/>
    </row>
    <row r="897" spans="1:13" ht="81" customHeight="1">
      <c r="A897" s="14"/>
      <c r="F897" s="7"/>
      <c r="H897" s="12"/>
      <c r="I897" s="5"/>
      <c r="J897" s="6"/>
      <c r="M897" s="16"/>
    </row>
    <row r="898" spans="1:13" ht="81" customHeight="1">
      <c r="A898" s="14"/>
      <c r="F898" s="7"/>
      <c r="H898" s="12"/>
      <c r="I898" s="5"/>
      <c r="J898" s="6"/>
      <c r="M898" s="16"/>
    </row>
    <row r="899" spans="1:13" ht="81" customHeight="1">
      <c r="A899" s="14"/>
      <c r="F899" s="7"/>
      <c r="H899" s="12"/>
      <c r="I899" s="5"/>
      <c r="J899" s="6"/>
      <c r="M899" s="16"/>
    </row>
    <row r="900" spans="1:13" ht="81" customHeight="1">
      <c r="A900" s="14"/>
      <c r="F900" s="7"/>
      <c r="H900" s="12"/>
      <c r="I900" s="5"/>
      <c r="J900" s="6"/>
      <c r="M900" s="16"/>
    </row>
    <row r="901" spans="1:13" ht="81" customHeight="1">
      <c r="A901" s="14"/>
      <c r="F901" s="7"/>
      <c r="H901" s="12"/>
      <c r="I901" s="5"/>
      <c r="J901" s="6"/>
      <c r="M901" s="16"/>
    </row>
    <row r="902" spans="1:13" ht="81" customHeight="1">
      <c r="A902" s="14"/>
      <c r="F902" s="7"/>
      <c r="H902" s="12"/>
      <c r="I902" s="5"/>
      <c r="J902" s="6"/>
      <c r="M902" s="16"/>
    </row>
    <row r="903" spans="1:13" ht="81" customHeight="1">
      <c r="A903" s="14"/>
      <c r="F903" s="7"/>
      <c r="H903" s="12"/>
      <c r="I903" s="5"/>
      <c r="J903" s="6"/>
      <c r="M903" s="16"/>
    </row>
    <row r="904" spans="1:13" ht="81" customHeight="1">
      <c r="A904" s="14"/>
      <c r="F904" s="7"/>
      <c r="H904" s="12"/>
      <c r="I904" s="5"/>
      <c r="J904" s="6"/>
      <c r="M904" s="16"/>
    </row>
    <row r="905" spans="1:13" ht="81" customHeight="1">
      <c r="A905" s="14"/>
      <c r="F905" s="7"/>
      <c r="H905" s="12"/>
      <c r="I905" s="5"/>
      <c r="J905" s="6"/>
      <c r="M905" s="16"/>
    </row>
    <row r="906" spans="1:13" ht="81" customHeight="1">
      <c r="A906" s="14"/>
      <c r="F906" s="7"/>
      <c r="H906" s="12"/>
      <c r="I906" s="5"/>
      <c r="J906" s="6"/>
      <c r="M906" s="16"/>
    </row>
    <row r="907" spans="1:13" ht="81" customHeight="1">
      <c r="A907" s="14"/>
      <c r="F907" s="7"/>
      <c r="H907" s="12"/>
      <c r="I907" s="5"/>
      <c r="J907" s="6"/>
      <c r="M907" s="16"/>
    </row>
    <row r="908" spans="1:13" ht="81" customHeight="1">
      <c r="A908" s="14"/>
      <c r="F908" s="7"/>
      <c r="H908" s="12"/>
      <c r="I908" s="5"/>
      <c r="J908" s="6"/>
      <c r="M908" s="16"/>
    </row>
    <row r="909" spans="1:13" ht="81" customHeight="1">
      <c r="A909" s="14"/>
      <c r="F909" s="7"/>
      <c r="H909" s="12"/>
      <c r="I909" s="5"/>
      <c r="J909" s="6"/>
      <c r="M909" s="16"/>
    </row>
    <row r="910" spans="1:13" ht="81" customHeight="1">
      <c r="A910" s="14"/>
      <c r="F910" s="7"/>
      <c r="H910" s="12"/>
      <c r="I910" s="5"/>
      <c r="J910" s="6"/>
      <c r="M910" s="16"/>
    </row>
    <row r="911" spans="1:13" ht="81" customHeight="1">
      <c r="A911" s="14"/>
      <c r="F911" s="7"/>
      <c r="H911" s="12"/>
      <c r="I911" s="5"/>
      <c r="J911" s="6"/>
      <c r="M911" s="16"/>
    </row>
    <row r="912" spans="1:13" ht="81" customHeight="1">
      <c r="A912" s="14"/>
      <c r="F912" s="7"/>
      <c r="H912" s="12"/>
      <c r="I912" s="5"/>
      <c r="J912" s="6"/>
      <c r="M912" s="16"/>
    </row>
    <row r="913" spans="1:13" ht="81" customHeight="1">
      <c r="A913" s="14"/>
      <c r="F913" s="7"/>
      <c r="H913" s="12"/>
      <c r="I913" s="5"/>
      <c r="J913" s="6"/>
      <c r="M913" s="16"/>
    </row>
    <row r="914" spans="1:13" ht="81" customHeight="1">
      <c r="A914" s="14"/>
      <c r="F914" s="7"/>
      <c r="H914" s="12"/>
      <c r="I914" s="5"/>
      <c r="J914" s="6"/>
      <c r="M914" s="16"/>
    </row>
    <row r="915" spans="1:13" ht="81" customHeight="1">
      <c r="A915" s="14"/>
      <c r="F915" s="7"/>
      <c r="H915" s="12"/>
      <c r="I915" s="5"/>
      <c r="J915" s="6"/>
      <c r="M915" s="16"/>
    </row>
    <row r="916" spans="1:13" ht="81" customHeight="1">
      <c r="A916" s="14"/>
      <c r="F916" s="7"/>
      <c r="H916" s="12"/>
      <c r="I916" s="5"/>
      <c r="J916" s="6"/>
      <c r="M916" s="16"/>
    </row>
    <row r="917" spans="1:13" ht="81" customHeight="1">
      <c r="A917" s="14"/>
      <c r="F917" s="7"/>
      <c r="H917" s="12"/>
      <c r="I917" s="5"/>
      <c r="J917" s="6"/>
      <c r="M917" s="16"/>
    </row>
    <row r="918" spans="1:13" ht="81" customHeight="1">
      <c r="A918" s="14"/>
      <c r="F918" s="7"/>
      <c r="H918" s="12"/>
      <c r="I918" s="5"/>
      <c r="J918" s="6"/>
      <c r="M918" s="16"/>
    </row>
    <row r="919" spans="1:13" ht="81" customHeight="1">
      <c r="A919" s="14"/>
      <c r="F919" s="7"/>
      <c r="H919" s="12"/>
      <c r="I919" s="5"/>
      <c r="J919" s="6"/>
      <c r="M919" s="16"/>
    </row>
    <row r="920" spans="1:13" ht="81" customHeight="1">
      <c r="A920" s="14"/>
      <c r="F920" s="7"/>
      <c r="H920" s="12"/>
      <c r="I920" s="5"/>
      <c r="J920" s="6"/>
      <c r="M920" s="16"/>
    </row>
    <row r="921" spans="1:13" ht="81" customHeight="1">
      <c r="A921" s="14"/>
      <c r="F921" s="7"/>
      <c r="H921" s="12"/>
      <c r="I921" s="5"/>
      <c r="J921" s="6"/>
      <c r="M921" s="16"/>
    </row>
    <row r="922" spans="1:13" ht="81" customHeight="1">
      <c r="A922" s="14"/>
      <c r="F922" s="7"/>
      <c r="H922" s="12"/>
      <c r="I922" s="5"/>
      <c r="J922" s="6"/>
      <c r="M922" s="16"/>
    </row>
    <row r="923" spans="1:13" ht="81" customHeight="1">
      <c r="A923" s="14"/>
      <c r="F923" s="7"/>
      <c r="H923" s="12"/>
      <c r="I923" s="5"/>
      <c r="J923" s="6"/>
      <c r="M923" s="16"/>
    </row>
    <row r="924" spans="1:13" ht="81" customHeight="1">
      <c r="A924" s="14"/>
      <c r="F924" s="7"/>
      <c r="H924" s="12"/>
      <c r="I924" s="5"/>
      <c r="J924" s="6"/>
      <c r="M924" s="16"/>
    </row>
    <row r="925" spans="1:13" ht="81" customHeight="1">
      <c r="A925" s="14"/>
      <c r="F925" s="7"/>
      <c r="H925" s="12"/>
      <c r="I925" s="5"/>
      <c r="J925" s="6"/>
      <c r="M925" s="16"/>
    </row>
    <row r="926" spans="1:13" ht="81" customHeight="1">
      <c r="A926" s="14"/>
      <c r="F926" s="7"/>
      <c r="H926" s="12"/>
      <c r="I926" s="5"/>
      <c r="J926" s="6"/>
      <c r="M926" s="16"/>
    </row>
    <row r="927" spans="1:13" ht="81" customHeight="1">
      <c r="A927" s="14"/>
      <c r="F927" s="7"/>
      <c r="H927" s="12"/>
      <c r="I927" s="5"/>
      <c r="J927" s="6"/>
      <c r="M927" s="16"/>
    </row>
    <row r="928" spans="1:13" ht="81" customHeight="1">
      <c r="A928" s="14"/>
      <c r="F928" s="7"/>
      <c r="H928" s="12"/>
      <c r="I928" s="5"/>
      <c r="J928" s="6"/>
      <c r="M928" s="16"/>
    </row>
    <row r="929" spans="1:13" ht="81" customHeight="1">
      <c r="A929" s="14"/>
      <c r="F929" s="7"/>
      <c r="H929" s="12"/>
      <c r="I929" s="5"/>
      <c r="J929" s="6"/>
      <c r="M929" s="16"/>
    </row>
    <row r="930" spans="1:13" ht="81" customHeight="1">
      <c r="A930" s="14"/>
      <c r="F930" s="7"/>
      <c r="H930" s="12"/>
      <c r="I930" s="5"/>
      <c r="J930" s="6"/>
      <c r="M930" s="16"/>
    </row>
    <row r="931" spans="1:13" ht="81" customHeight="1">
      <c r="A931" s="14"/>
      <c r="F931" s="7"/>
      <c r="H931" s="12"/>
      <c r="I931" s="5"/>
      <c r="J931" s="6"/>
      <c r="M931" s="16"/>
    </row>
    <row r="932" spans="1:13" ht="81" customHeight="1">
      <c r="A932" s="14"/>
      <c r="F932" s="7"/>
      <c r="H932" s="12"/>
      <c r="I932" s="5"/>
      <c r="J932" s="6"/>
      <c r="M932" s="16"/>
    </row>
    <row r="933" spans="1:13" ht="81" customHeight="1">
      <c r="A933" s="14"/>
      <c r="F933" s="7"/>
      <c r="H933" s="12"/>
      <c r="I933" s="5"/>
      <c r="J933" s="6"/>
      <c r="M933" s="16"/>
    </row>
    <row r="934" spans="1:13" ht="81" customHeight="1">
      <c r="A934" s="14"/>
      <c r="F934" s="7"/>
      <c r="H934" s="12"/>
      <c r="I934" s="5"/>
      <c r="J934" s="6"/>
      <c r="M934" s="16"/>
    </row>
    <row r="935" spans="1:13" ht="81" customHeight="1">
      <c r="A935" s="14"/>
      <c r="F935" s="7"/>
      <c r="H935" s="12"/>
      <c r="I935" s="5"/>
      <c r="J935" s="6"/>
      <c r="M935" s="16"/>
    </row>
    <row r="936" spans="1:13" ht="81" customHeight="1">
      <c r="A936" s="14"/>
      <c r="F936" s="7"/>
      <c r="H936" s="12"/>
      <c r="I936" s="5"/>
      <c r="J936" s="6"/>
      <c r="M936" s="16"/>
    </row>
    <row r="937" spans="1:13" ht="81" customHeight="1">
      <c r="A937" s="14"/>
      <c r="F937" s="7"/>
      <c r="H937" s="12"/>
      <c r="I937" s="5"/>
      <c r="J937" s="6"/>
      <c r="M937" s="16"/>
    </row>
    <row r="938" spans="1:13" ht="81" customHeight="1">
      <c r="A938" s="14"/>
      <c r="F938" s="7"/>
      <c r="H938" s="12"/>
      <c r="I938" s="5"/>
      <c r="J938" s="6"/>
      <c r="M938" s="16"/>
    </row>
    <row r="939" spans="1:13" ht="81" customHeight="1">
      <c r="A939" s="14"/>
      <c r="F939" s="7"/>
      <c r="H939" s="12"/>
      <c r="I939" s="5"/>
      <c r="J939" s="6"/>
      <c r="M939" s="16"/>
    </row>
    <row r="940" spans="1:13" ht="81" customHeight="1">
      <c r="A940" s="14"/>
      <c r="F940" s="7"/>
      <c r="H940" s="12"/>
      <c r="I940" s="5"/>
      <c r="J940" s="6"/>
      <c r="M940" s="16"/>
    </row>
    <row r="941" spans="1:13" ht="81" customHeight="1">
      <c r="A941" s="14"/>
      <c r="F941" s="7"/>
      <c r="H941" s="12"/>
      <c r="I941" s="5"/>
      <c r="J941" s="6"/>
      <c r="M941" s="16"/>
    </row>
    <row r="942" spans="1:13" ht="81" customHeight="1">
      <c r="A942" s="14"/>
      <c r="F942" s="7"/>
      <c r="H942" s="12"/>
      <c r="I942" s="5"/>
      <c r="J942" s="6"/>
      <c r="M942" s="16"/>
    </row>
    <row r="943" spans="1:13" ht="81" customHeight="1">
      <c r="A943" s="14"/>
      <c r="F943" s="7"/>
      <c r="H943" s="12"/>
      <c r="I943" s="5"/>
      <c r="J943" s="6"/>
      <c r="M943" s="16"/>
    </row>
    <row r="944" spans="1:13" ht="81" customHeight="1">
      <c r="A944" s="14"/>
      <c r="F944" s="7"/>
      <c r="H944" s="12"/>
      <c r="I944" s="5"/>
      <c r="J944" s="6"/>
      <c r="M944" s="16"/>
    </row>
    <row r="945" spans="1:13" ht="81" customHeight="1">
      <c r="A945" s="14"/>
      <c r="F945" s="7"/>
      <c r="H945" s="12"/>
      <c r="I945" s="5"/>
      <c r="J945" s="6"/>
      <c r="M945" s="16"/>
    </row>
    <row r="946" spans="1:13" ht="81" customHeight="1">
      <c r="A946" s="14"/>
      <c r="F946" s="7"/>
      <c r="H946" s="12"/>
      <c r="I946" s="5"/>
      <c r="J946" s="6"/>
      <c r="M946" s="16"/>
    </row>
    <row r="947" spans="1:13" ht="81" customHeight="1">
      <c r="A947" s="14"/>
      <c r="F947" s="7"/>
      <c r="H947" s="12"/>
      <c r="I947" s="5"/>
      <c r="J947" s="6"/>
      <c r="M947" s="16"/>
    </row>
    <row r="948" spans="1:13" ht="81" customHeight="1">
      <c r="A948" s="14"/>
      <c r="F948" s="7"/>
      <c r="H948" s="12"/>
      <c r="I948" s="5"/>
      <c r="J948" s="6"/>
      <c r="M948" s="16"/>
    </row>
    <row r="949" spans="1:13" ht="81" customHeight="1">
      <c r="A949" s="14"/>
      <c r="F949" s="7"/>
      <c r="H949" s="12"/>
      <c r="I949" s="5"/>
      <c r="J949" s="6"/>
      <c r="M949" s="16"/>
    </row>
    <row r="950" spans="1:13" ht="81" customHeight="1">
      <c r="A950" s="14"/>
      <c r="F950" s="7"/>
      <c r="H950" s="12"/>
      <c r="I950" s="5"/>
      <c r="J950" s="6"/>
      <c r="M950" s="16"/>
    </row>
    <row r="951" spans="1:13" ht="81" customHeight="1">
      <c r="A951" s="14"/>
      <c r="F951" s="7"/>
      <c r="H951" s="12"/>
      <c r="I951" s="5"/>
      <c r="J951" s="6"/>
      <c r="M951" s="16"/>
    </row>
    <row r="952" spans="1:13" ht="81" customHeight="1">
      <c r="A952" s="14"/>
      <c r="F952" s="7"/>
      <c r="H952" s="12"/>
      <c r="I952" s="5"/>
      <c r="J952" s="6"/>
      <c r="M952" s="16"/>
    </row>
    <row r="953" spans="1:13" ht="81" customHeight="1">
      <c r="A953" s="14"/>
      <c r="F953" s="7"/>
      <c r="H953" s="12"/>
      <c r="I953" s="5"/>
      <c r="J953" s="6"/>
      <c r="M953" s="16"/>
    </row>
    <row r="954" spans="1:13" ht="81" customHeight="1">
      <c r="A954" s="14"/>
      <c r="F954" s="7"/>
      <c r="H954" s="12"/>
      <c r="I954" s="5"/>
      <c r="J954" s="6"/>
      <c r="M954" s="16"/>
    </row>
    <row r="955" spans="1:13" ht="81" customHeight="1">
      <c r="A955" s="14"/>
      <c r="F955" s="7"/>
      <c r="H955" s="12"/>
      <c r="I955" s="5"/>
      <c r="J955" s="6"/>
      <c r="M955" s="16"/>
    </row>
    <row r="956" spans="1:13" ht="81" customHeight="1">
      <c r="A956" s="14"/>
      <c r="F956" s="7"/>
      <c r="H956" s="12"/>
      <c r="I956" s="5"/>
      <c r="J956" s="6"/>
      <c r="M956" s="16"/>
    </row>
    <row r="957" spans="1:13" ht="81" customHeight="1">
      <c r="A957" s="14"/>
      <c r="F957" s="7"/>
      <c r="H957" s="12"/>
      <c r="I957" s="5"/>
      <c r="J957" s="6"/>
      <c r="M957" s="16"/>
    </row>
    <row r="958" spans="1:13" ht="81" customHeight="1">
      <c r="A958" s="14"/>
      <c r="F958" s="7"/>
      <c r="H958" s="12"/>
      <c r="I958" s="5"/>
      <c r="J958" s="6"/>
      <c r="M958" s="16"/>
    </row>
    <row r="959" spans="1:13" ht="81" customHeight="1">
      <c r="A959" s="14"/>
      <c r="F959" s="7"/>
      <c r="H959" s="12"/>
      <c r="I959" s="5"/>
      <c r="J959" s="6"/>
      <c r="M959" s="16"/>
    </row>
    <row r="960" spans="1:13" ht="81" customHeight="1">
      <c r="A960" s="14"/>
      <c r="F960" s="7"/>
      <c r="H960" s="12"/>
      <c r="I960" s="5"/>
      <c r="J960" s="6"/>
      <c r="M960" s="16"/>
    </row>
    <row r="961" spans="1:13" ht="81" customHeight="1">
      <c r="A961" s="14"/>
      <c r="F961" s="7"/>
      <c r="H961" s="12"/>
      <c r="I961" s="5"/>
      <c r="J961" s="6"/>
      <c r="M961" s="16"/>
    </row>
    <row r="962" spans="1:13" ht="81" customHeight="1">
      <c r="A962" s="14"/>
      <c r="F962" s="7"/>
      <c r="H962" s="12"/>
      <c r="I962" s="5"/>
      <c r="J962" s="6"/>
      <c r="M962" s="16"/>
    </row>
    <row r="963" spans="1:13" ht="81" customHeight="1">
      <c r="A963" s="14"/>
      <c r="F963" s="7"/>
      <c r="H963" s="12"/>
      <c r="I963" s="5"/>
      <c r="J963" s="6"/>
      <c r="M963" s="16"/>
    </row>
    <row r="964" spans="1:13" ht="81" customHeight="1">
      <c r="A964" s="14"/>
      <c r="F964" s="7"/>
      <c r="H964" s="12"/>
      <c r="I964" s="5"/>
      <c r="J964" s="6"/>
      <c r="M964" s="16"/>
    </row>
    <row r="965" spans="1:13" ht="81" customHeight="1">
      <c r="A965" s="14"/>
      <c r="F965" s="7"/>
      <c r="H965" s="12"/>
      <c r="I965" s="5"/>
      <c r="J965" s="6"/>
      <c r="M965" s="16"/>
    </row>
    <row r="966" spans="1:13" ht="81" customHeight="1">
      <c r="A966" s="14"/>
      <c r="F966" s="7"/>
      <c r="H966" s="12"/>
      <c r="I966" s="5"/>
      <c r="J966" s="6"/>
      <c r="M966" s="16"/>
    </row>
    <row r="967" spans="1:13" ht="81" customHeight="1">
      <c r="A967" s="14"/>
      <c r="F967" s="7"/>
      <c r="H967" s="12"/>
      <c r="I967" s="5"/>
      <c r="J967" s="6"/>
      <c r="M967" s="16"/>
    </row>
    <row r="968" spans="1:13" ht="81" customHeight="1">
      <c r="A968" s="14"/>
      <c r="F968" s="7"/>
      <c r="H968" s="12"/>
      <c r="I968" s="5"/>
      <c r="J968" s="6"/>
      <c r="M968" s="16"/>
    </row>
    <row r="969" spans="1:13" ht="81" customHeight="1">
      <c r="A969" s="14"/>
      <c r="F969" s="7"/>
      <c r="H969" s="12"/>
      <c r="I969" s="5"/>
      <c r="J969" s="6"/>
      <c r="M969" s="16"/>
    </row>
    <row r="970" spans="1:13" ht="81" customHeight="1">
      <c r="A970" s="14"/>
      <c r="F970" s="7"/>
      <c r="H970" s="12"/>
      <c r="I970" s="5"/>
      <c r="J970" s="6"/>
      <c r="M970" s="16"/>
    </row>
    <row r="971" spans="1:13" ht="81" customHeight="1">
      <c r="A971" s="14"/>
      <c r="F971" s="7"/>
      <c r="H971" s="12"/>
      <c r="I971" s="5"/>
      <c r="J971" s="6"/>
      <c r="M971" s="16"/>
    </row>
    <row r="972" spans="1:13" ht="81" customHeight="1">
      <c r="A972" s="14"/>
      <c r="F972" s="7"/>
      <c r="H972" s="12"/>
      <c r="I972" s="5"/>
      <c r="J972" s="6"/>
      <c r="M972" s="16"/>
    </row>
    <row r="973" spans="1:13" ht="81" customHeight="1">
      <c r="A973" s="14"/>
      <c r="F973" s="7"/>
      <c r="H973" s="12"/>
      <c r="I973" s="5"/>
      <c r="J973" s="6"/>
      <c r="M973" s="16"/>
    </row>
    <row r="974" spans="1:13" ht="81" customHeight="1">
      <c r="A974" s="14"/>
      <c r="F974" s="7"/>
      <c r="H974" s="12"/>
      <c r="I974" s="5"/>
      <c r="J974" s="6"/>
      <c r="M974" s="16"/>
    </row>
    <row r="975" spans="1:13" ht="81" customHeight="1">
      <c r="A975" s="14"/>
      <c r="F975" s="7"/>
      <c r="H975" s="12"/>
      <c r="I975" s="5"/>
      <c r="J975" s="6"/>
      <c r="M975" s="16"/>
    </row>
    <row r="976" spans="1:13" ht="81" customHeight="1">
      <c r="A976" s="14"/>
      <c r="F976" s="7"/>
      <c r="H976" s="12"/>
      <c r="I976" s="5"/>
      <c r="J976" s="6"/>
      <c r="M976" s="16"/>
    </row>
    <row r="977" spans="1:13" ht="81" customHeight="1">
      <c r="A977" s="14"/>
      <c r="F977" s="7"/>
      <c r="H977" s="12"/>
      <c r="I977" s="5"/>
      <c r="J977" s="6"/>
      <c r="M977" s="16"/>
    </row>
    <row r="978" spans="1:13" ht="81" customHeight="1">
      <c r="A978" s="14"/>
      <c r="F978" s="7"/>
      <c r="H978" s="12"/>
      <c r="I978" s="5"/>
      <c r="J978" s="6"/>
      <c r="M978" s="16"/>
    </row>
    <row r="979" spans="1:13" ht="81" customHeight="1">
      <c r="A979" s="14"/>
      <c r="F979" s="7"/>
      <c r="H979" s="12"/>
      <c r="I979" s="5"/>
      <c r="J979" s="6"/>
      <c r="M979" s="16"/>
    </row>
    <row r="980" spans="1:13" ht="81" customHeight="1">
      <c r="A980" s="14"/>
      <c r="F980" s="7"/>
      <c r="H980" s="12"/>
      <c r="I980" s="5"/>
      <c r="J980" s="6"/>
      <c r="M980" s="16"/>
    </row>
    <row r="981" spans="1:13" ht="81" customHeight="1">
      <c r="A981" s="14"/>
      <c r="F981" s="7"/>
      <c r="H981" s="12"/>
      <c r="I981" s="5"/>
      <c r="J981" s="6"/>
      <c r="M981" s="16"/>
    </row>
    <row r="982" spans="1:13" ht="81" customHeight="1">
      <c r="A982" s="14"/>
      <c r="F982" s="7"/>
      <c r="H982" s="12"/>
      <c r="I982" s="5"/>
      <c r="J982" s="6"/>
      <c r="M982" s="16"/>
    </row>
    <row r="983" spans="1:13" ht="81" customHeight="1">
      <c r="A983" s="14"/>
      <c r="F983" s="7"/>
      <c r="H983" s="12"/>
      <c r="I983" s="5"/>
      <c r="J983" s="6"/>
      <c r="M983" s="16"/>
    </row>
    <row r="984" spans="1:13" ht="81" customHeight="1">
      <c r="A984" s="14"/>
      <c r="F984" s="7"/>
      <c r="H984" s="12"/>
      <c r="I984" s="5"/>
      <c r="J984" s="6"/>
      <c r="M984" s="16"/>
    </row>
    <row r="985" spans="1:13" ht="81" customHeight="1">
      <c r="A985" s="14"/>
      <c r="F985" s="7"/>
      <c r="H985" s="12"/>
      <c r="I985" s="5"/>
      <c r="J985" s="6"/>
      <c r="M985" s="16"/>
    </row>
    <row r="986" spans="1:13" ht="81" customHeight="1">
      <c r="A986" s="14"/>
      <c r="F986" s="7"/>
      <c r="H986" s="12"/>
      <c r="I986" s="5"/>
      <c r="J986" s="6"/>
      <c r="M986" s="16"/>
    </row>
    <row r="987" spans="1:13" ht="81" customHeight="1">
      <c r="A987" s="14"/>
      <c r="F987" s="7"/>
      <c r="H987" s="12"/>
      <c r="I987" s="5"/>
      <c r="J987" s="6"/>
      <c r="M987" s="16"/>
    </row>
    <row r="988" spans="1:13" ht="81" customHeight="1">
      <c r="A988" s="14"/>
      <c r="F988" s="7"/>
      <c r="H988" s="12"/>
      <c r="I988" s="5"/>
      <c r="J988" s="6"/>
      <c r="M988" s="16"/>
    </row>
    <row r="989" spans="1:13" ht="81" customHeight="1">
      <c r="A989" s="14"/>
      <c r="F989" s="7"/>
      <c r="H989" s="12"/>
      <c r="I989" s="5"/>
      <c r="J989" s="6"/>
      <c r="M989" s="16"/>
    </row>
    <row r="990" spans="1:13" ht="81" customHeight="1">
      <c r="A990" s="14"/>
      <c r="F990" s="7"/>
      <c r="H990" s="12"/>
      <c r="I990" s="5"/>
      <c r="J990" s="6"/>
      <c r="M990" s="16"/>
    </row>
    <row r="991" spans="1:13" ht="81" customHeight="1">
      <c r="A991" s="14"/>
      <c r="F991" s="7"/>
      <c r="H991" s="12"/>
      <c r="I991" s="5"/>
      <c r="J991" s="6"/>
      <c r="M991" s="16"/>
    </row>
    <row r="992" spans="1:13" ht="81" customHeight="1">
      <c r="A992" s="14"/>
      <c r="F992" s="7"/>
      <c r="H992" s="12"/>
      <c r="I992" s="5"/>
      <c r="J992" s="6"/>
      <c r="M992" s="16"/>
    </row>
    <row r="993" spans="1:13" ht="81" customHeight="1">
      <c r="A993" s="14"/>
      <c r="F993" s="7"/>
      <c r="H993" s="12"/>
      <c r="I993" s="5"/>
      <c r="J993" s="6"/>
      <c r="M993" s="16"/>
    </row>
    <row r="994" spans="1:13" ht="81" customHeight="1">
      <c r="A994" s="14"/>
      <c r="F994" s="7"/>
      <c r="H994" s="12"/>
      <c r="I994" s="5"/>
      <c r="J994" s="6"/>
      <c r="M994" s="16"/>
    </row>
    <row r="995" spans="1:13" ht="81" customHeight="1">
      <c r="A995" s="14"/>
      <c r="F995" s="7"/>
      <c r="H995" s="12"/>
      <c r="I995" s="5"/>
      <c r="J995" s="6"/>
      <c r="M995" s="16"/>
    </row>
    <row r="996" spans="1:13" ht="81" customHeight="1">
      <c r="A996" s="14"/>
      <c r="F996" s="7"/>
      <c r="H996" s="12"/>
      <c r="I996" s="5"/>
      <c r="J996" s="6"/>
      <c r="M996" s="16"/>
    </row>
    <row r="997" spans="1:13" ht="81" customHeight="1">
      <c r="A997" s="14"/>
      <c r="F997" s="7"/>
      <c r="H997" s="12"/>
      <c r="I997" s="5"/>
      <c r="J997" s="6"/>
      <c r="M997" s="16"/>
    </row>
    <row r="998" spans="1:13" ht="81" customHeight="1">
      <c r="A998" s="14"/>
      <c r="F998" s="7"/>
      <c r="H998" s="12"/>
      <c r="I998" s="5"/>
      <c r="J998" s="6"/>
      <c r="M998" s="16"/>
    </row>
    <row r="999" spans="1:13" ht="81" customHeight="1">
      <c r="A999" s="14"/>
      <c r="F999" s="7"/>
      <c r="H999" s="12"/>
      <c r="I999" s="5"/>
      <c r="J999" s="6"/>
      <c r="M999" s="16"/>
    </row>
    <row r="1000" spans="1:13" ht="81" customHeight="1">
      <c r="A1000" s="14"/>
      <c r="F1000" s="7"/>
      <c r="H1000" s="12"/>
      <c r="I1000" s="5"/>
      <c r="J1000" s="6"/>
      <c r="M1000" s="16"/>
    </row>
    <row r="1001" spans="1:13" ht="81" customHeight="1">
      <c r="A1001" s="14"/>
      <c r="F1001" s="7"/>
      <c r="H1001" s="12"/>
      <c r="I1001" s="5"/>
      <c r="J1001" s="6"/>
      <c r="M1001" s="16"/>
    </row>
    <row r="1002" spans="1:13" ht="81" customHeight="1">
      <c r="A1002" s="14"/>
      <c r="B1002" s="15"/>
      <c r="F1002" s="7"/>
      <c r="I1002" s="5"/>
      <c r="J1002" s="6"/>
      <c r="M1002" s="16"/>
    </row>
  </sheetData>
  <autoFilter ref="G1:G1002" xr:uid="{00000000-0009-0000-0000-000000000000}"/>
  <sortState ref="A4:Z99">
    <sortCondition ref="G3:G191"/>
    <sortCondition ref="H3:H99"/>
    <sortCondition ref="D3:D99"/>
  </sortState>
  <phoneticPr fontId="6"/>
  <conditionalFormatting sqref="C4:C93 C100:C200">
    <cfRule type="cellIs" dxfId="0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259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8" priority="1" operator="containsText" text="Algo">
      <formula>NOT(ISERROR(SEARCH(("Algo"),(C1))))</formula>
    </cfRule>
  </conditionalFormatting>
  <conditionalFormatting sqref="C1:C1002">
    <cfRule type="containsText" dxfId="7" priority="2" operator="containsText" text="Array">
      <formula>NOT(ISERROR(SEARCH(("Array"),(C1))))</formula>
    </cfRule>
  </conditionalFormatting>
  <conditionalFormatting sqref="C1:C1002">
    <cfRule type="containsText" dxfId="6" priority="3" operator="containsText" text="Backtracking">
      <formula>NOT(ISERROR(SEARCH(("Backtracking"),(C1))))</formula>
    </cfRule>
  </conditionalFormatting>
  <conditionalFormatting sqref="C1:C1002">
    <cfRule type="containsText" dxfId="5" priority="4" operator="containsText" text="DP">
      <formula>NOT(ISERROR(SEARCH(("DP"),(C1))))</formula>
    </cfRule>
  </conditionalFormatting>
  <conditionalFormatting sqref="C1:C1002">
    <cfRule type="containsText" dxfId="4" priority="5" operator="containsText" text="LinkedList">
      <formula>NOT(ISERROR(SEARCH(("LinkedList"),(C1))))</formula>
    </cfRule>
  </conditionalFormatting>
  <conditionalFormatting sqref="C1:C1002">
    <cfRule type="containsText" dxfId="3" priority="6" operator="containsText" text="Math">
      <formula>NOT(ISERROR(SEARCH(("Math"),(C1))))</formula>
    </cfRule>
  </conditionalFormatting>
  <conditionalFormatting sqref="C1:C1002">
    <cfRule type="containsText" dxfId="2" priority="7" operator="containsText" text="Tree">
      <formula>NOT(ISERROR(SEARCH(("Tree"),(C1))))</formula>
    </cfRule>
  </conditionalFormatting>
  <conditionalFormatting sqref="C1:C1002">
    <cfRule type="containsText" dxfId="1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2018-04-01T10:05:58Z</dcterms:modified>
</cp:coreProperties>
</file>