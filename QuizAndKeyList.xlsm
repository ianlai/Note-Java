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0" yWindow="460" windowWidth="24880" windowHeight="1554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8" i="1" l="1"/>
  <c r="M15" i="1"/>
  <c r="M16" i="1"/>
  <c r="M17" i="1"/>
  <c r="M18" i="1"/>
  <c r="M21" i="1"/>
  <c r="M22" i="1"/>
  <c r="M25" i="1"/>
  <c r="M24" i="1"/>
  <c r="M26" i="1"/>
  <c r="M85" i="1"/>
  <c r="O3" i="1"/>
  <c r="O1" i="1"/>
  <c r="N1" i="1"/>
  <c r="M29" i="1"/>
  <c r="M11" i="1"/>
  <c r="M12" i="1"/>
  <c r="M10" i="1"/>
  <c r="M79" i="1"/>
  <c r="M84" i="1"/>
  <c r="M28" i="1"/>
  <c r="M9" i="1"/>
  <c r="M27" i="1"/>
  <c r="M83" i="1"/>
  <c r="M82" i="1"/>
  <c r="M80" i="1"/>
  <c r="M81" i="1"/>
  <c r="M78" i="1"/>
  <c r="M30" i="1"/>
  <c r="M19" i="1"/>
  <c r="M20" i="1"/>
  <c r="M5" i="1"/>
  <c r="M33" i="1"/>
  <c r="M32" i="1"/>
  <c r="M31" i="1"/>
  <c r="M4" i="1"/>
  <c r="M23" i="1"/>
  <c r="M70" i="1"/>
  <c r="M71" i="1"/>
  <c r="M44" i="1"/>
  <c r="M69" i="1"/>
  <c r="M36" i="1"/>
  <c r="M35" i="1"/>
  <c r="M45" i="1"/>
  <c r="M49" i="1"/>
  <c r="M68" i="1"/>
  <c r="M14" i="1"/>
  <c r="M67" i="1"/>
  <c r="M66" i="1"/>
  <c r="M65" i="1"/>
  <c r="M60" i="1"/>
  <c r="M41" i="1"/>
  <c r="M39" i="1"/>
  <c r="M64" i="1"/>
  <c r="M38" i="1"/>
  <c r="M34" i="1"/>
  <c r="M43" i="1"/>
  <c r="M63" i="1"/>
  <c r="M62" i="1"/>
  <c r="M13" i="1"/>
  <c r="M75" i="1"/>
  <c r="M59" i="1"/>
  <c r="M61" i="1"/>
  <c r="M58" i="1"/>
  <c r="M74" i="1"/>
  <c r="M54" i="1"/>
  <c r="M73" i="1"/>
  <c r="M72" i="1"/>
  <c r="M37" i="1"/>
  <c r="M50" i="1"/>
  <c r="M40" i="1"/>
  <c r="M52" i="1"/>
  <c r="M51" i="1"/>
  <c r="M77" i="1"/>
  <c r="M48" i="1"/>
  <c r="M76" i="1"/>
  <c r="M7" i="1"/>
  <c r="M6" i="1"/>
  <c r="M57" i="1"/>
  <c r="M42" i="1"/>
  <c r="M56" i="1"/>
  <c r="M53" i="1"/>
  <c r="M47" i="1"/>
  <c r="M46" i="1"/>
  <c r="M55" i="1"/>
</calcChain>
</file>

<file path=xl/sharedStrings.xml><?xml version="1.0" encoding="utf-8"?>
<sst xmlns="http://schemas.openxmlformats.org/spreadsheetml/2006/main" count="495" uniqueCount="303">
  <si>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</si>
  <si>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</si>
  <si>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</si>
  <si>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</si>
  <si>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</si>
  <si>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</si>
  <si>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</si>
  <si>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</si>
  <si>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</si>
  <si>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</si>
  <si>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</si>
  <si>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</si>
  <si>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</si>
  <si>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</si>
  <si>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</si>
  <si>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</si>
  <si>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</si>
  <si>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</si>
  <si>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</si>
  <si>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</si>
  <si>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</si>
  <si>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</si>
  <si>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</si>
  <si>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</si>
  <si>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</si>
  <si>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</si>
  <si>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</si>
  <si>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</si>
  <si>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</si>
  <si>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</si>
  <si>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</si>
  <si>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</si>
  <si>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</si>
  <si>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</si>
  <si>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</si>
  <si>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</si>
  <si>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</si>
  <si>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</si>
  <si>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</si>
  <si>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</si>
  <si>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</si>
  <si>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</si>
  <si>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</si>
  <si>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</si>
  <si>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</si>
  <si>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</si>
  <si>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</si>
  <si>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</si>
  <si>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</si>
  <si>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</si>
  <si>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</si>
  <si>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</si>
  <si>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</si>
  <si>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</si>
  <si>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</si>
  <si>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</si>
  <si>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</si>
  <si>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</si>
  <si>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</si>
  <si>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</si>
  <si>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</si>
  <si>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</si>
  <si>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</si>
  <si>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</si>
  <si>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</si>
  <si>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</si>
  <si>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</si>
  <si>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</si>
  <si>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</si>
  <si>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</si>
  <si>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</si>
  <si>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</si>
  <si>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</si>
  <si>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</si>
  <si>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</si>
  <si>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</si>
  <si>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</si>
  <si>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</si>
  <si>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</si>
  <si>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</si>
  <si>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</si>
  <si>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</si>
  <si>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</si>
  <si>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</si>
  <si>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</si>
  <si>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</si>
  <si>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</si>
  <si>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</si>
  <si>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</si>
  <si>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</si>
  <si>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</si>
  <si>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</si>
  <si>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</si>
  <si>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</si>
  <si>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</si>
  <si>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</si>
  <si>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</si>
  <si>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</si>
  <si>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</si>
  <si>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</si>
  <si>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</si>
  <si>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</si>
  <si>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</si>
  <si>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</si>
  <si>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</si>
  <si>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</si>
  <si>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</si>
  <si>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</si>
  <si>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</si>
  <si>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</si>
  <si>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</si>
  <si>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</si>
  <si>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</si>
  <si>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</si>
  <si>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</si>
  <si>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</si>
  <si>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</si>
  <si>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</si>
  <si>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</si>
  <si>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</si>
  <si>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</si>
  <si>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</si>
  <si>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</si>
  <si>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</si>
  <si>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</si>
  <si>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</si>
  <si>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</si>
  <si>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</si>
  <si>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</si>
  <si>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</si>
  <si>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</si>
  <si>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</si>
  <si>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</si>
  <si>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</si>
  <si>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</si>
  <si>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</si>
  <si>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</si>
  <si>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</si>
  <si>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</si>
  <si>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</si>
  <si>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</si>
  <si>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</si>
  <si>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</si>
  <si>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</si>
  <si>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</si>
  <si>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</si>
  <si>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</si>
  <si>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</si>
  <si>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</si>
  <si>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</si>
  <si>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</si>
  <si>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</si>
  <si>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</si>
  <si>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</si>
  <si>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</si>
  <si>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</si>
  <si>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</si>
  <si>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</si>
  <si>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</si>
  <si>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r>
      <t>b</t>
    </r>
    <r>
      <rPr>
        <sz val="10"/>
        <rFont val="Arial"/>
        <family val="2"/>
      </rPr>
      <t>st</t>
    </r>
    <phoneticPr fontId="7"/>
  </si>
  <si>
    <t>permutations</t>
    <phoneticPr fontId="7"/>
  </si>
  <si>
    <t>subsets</t>
  </si>
  <si>
    <t>Array</t>
    <phoneticPr fontId="7"/>
  </si>
  <si>
    <t>combinations</t>
    <phoneticPr fontId="7"/>
  </si>
  <si>
    <t>Input</t>
    <phoneticPr fontId="7"/>
  </si>
  <si>
    <t>containers</t>
  </si>
  <si>
    <t>string</t>
    <phoneticPr fontId="7"/>
  </si>
  <si>
    <t>Random Pick Index</t>
    <phoneticPr fontId="7"/>
  </si>
  <si>
    <t>Find All Numbers Disappeared In An Array</t>
    <phoneticPr fontId="7"/>
  </si>
  <si>
    <t>Reviewed</t>
    <phoneticPr fontId="7"/>
  </si>
  <si>
    <t>用兩個Stack來做 push放入時不用處理直接存到S1 在取出pop或確認top時 從上面取出 放入S2 (順序反過來) 再從S2上方取出或確認即可</t>
    <phoneticPr fontId="7"/>
  </si>
  <si>
    <t>Same Tree</t>
    <phoneticPr fontId="7"/>
  </si>
  <si>
    <r>
      <t>T</t>
    </r>
    <r>
      <rPr>
        <sz val="10"/>
        <color rgb="FF000000"/>
        <rFont val="Arial"/>
      </rPr>
      <t>ree</t>
    </r>
    <phoneticPr fontId="7"/>
  </si>
  <si>
    <r>
      <t>t</t>
    </r>
    <r>
      <rPr>
        <sz val="10"/>
        <color rgb="FF000000"/>
        <rFont val="Arial"/>
      </rPr>
      <t>ree</t>
    </r>
    <phoneticPr fontId="7"/>
  </si>
  <si>
    <t>Symmetric Tree</t>
    <phoneticPr fontId="7"/>
  </si>
  <si>
    <r>
      <t>E</t>
    </r>
    <r>
      <rPr>
        <sz val="10"/>
        <color rgb="FF000000"/>
        <rFont val="Arial"/>
      </rPr>
      <t>asy</t>
    </r>
    <phoneticPr fontId="7"/>
  </si>
  <si>
    <t>Easy</t>
    <phoneticPr fontId="7"/>
  </si>
  <si>
    <t>Minimum Depth of Binary Tree</t>
    <phoneticPr fontId="7"/>
  </si>
  <si>
    <t>Path Sum</t>
    <phoneticPr fontId="7"/>
  </si>
  <si>
    <t>Path Sum 2</t>
    <phoneticPr fontId="7"/>
  </si>
  <si>
    <t xml:space="preserve">Easy </t>
    <phoneticPr fontId="7"/>
  </si>
  <si>
    <t>Medium</t>
    <phoneticPr fontId="7"/>
  </si>
  <si>
    <t>Invert Binary Tree</t>
    <phoneticPr fontId="7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</si>
  <si>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</si>
  <si>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</si>
  <si>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</si>
  <si>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</si>
  <si>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</si>
  <si>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</si>
  <si>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</si>
  <si>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</si>
  <si>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</si>
  <si>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</si>
  <si>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</si>
  <si>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</si>
  <si>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</si>
  <si>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</si>
  <si>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</si>
  <si>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</si>
  <si>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</si>
  <si>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</si>
  <si>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</si>
  <si>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</si>
  <si>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</si>
  <si>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</si>
  <si>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</si>
  <si>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</si>
  <si>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</si>
  <si>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</si>
  <si>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</si>
  <si>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</si>
  <si>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</si>
  <si>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</si>
  <si>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</si>
  <si>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</si>
  <si>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7"/>
  </si>
  <si>
    <t>House Robber</t>
    <phoneticPr fontId="7"/>
  </si>
  <si>
    <t>House Robber 2</t>
    <phoneticPr fontId="7"/>
  </si>
  <si>
    <r>
      <t>h</t>
    </r>
    <r>
      <rPr>
        <sz val="10"/>
        <rFont val="Arial"/>
        <family val="2"/>
      </rPr>
      <t>ouseRobber</t>
    </r>
    <phoneticPr fontId="7"/>
  </si>
  <si>
    <r>
      <t>E</t>
    </r>
    <r>
      <rPr>
        <sz val="10"/>
        <color rgb="FF000000"/>
        <rFont val="Arial"/>
      </rPr>
      <t>asy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</si>
  <si>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#198</t>
    </r>
    <r>
      <rPr>
        <sz val="10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7"/>
  </si>
  <si>
    <t>給一個陣列 相鄰兩個不能都取 求加總最大和</t>
    <phoneticPr fontId="7"/>
  </si>
  <si>
    <t>Two Sum</t>
    <phoneticPr fontId="7"/>
  </si>
  <si>
    <t>3Sum</t>
    <phoneticPr fontId="7"/>
  </si>
  <si>
    <r>
      <t>Find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The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Duplicate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Number</t>
    </r>
    <phoneticPr fontId="7"/>
  </si>
  <si>
    <r>
      <t>Sort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Colors</t>
    </r>
    <phoneticPr fontId="7"/>
  </si>
  <si>
    <r>
      <t>Valid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Palindrome</t>
    </r>
    <phoneticPr fontId="7"/>
  </si>
  <si>
    <r>
      <t>S</t>
    </r>
    <r>
      <rPr>
        <sz val="10"/>
        <color rgb="FF000000"/>
        <rFont val="Arial"/>
      </rPr>
      <t xml:space="preserve">tring </t>
    </r>
    <phoneticPr fontId="7"/>
  </si>
  <si>
    <r>
      <t>s</t>
    </r>
    <r>
      <rPr>
        <sz val="10"/>
        <color rgb="FF000000"/>
        <rFont val="Arial"/>
      </rPr>
      <t>tring</t>
    </r>
    <phoneticPr fontId="7"/>
  </si>
  <si>
    <r>
      <t>S</t>
    </r>
    <r>
      <rPr>
        <sz val="10"/>
        <color rgb="FF000000"/>
        <rFont val="Arial"/>
      </rPr>
      <t xml:space="preserve">orting </t>
    </r>
    <phoneticPr fontId="7"/>
  </si>
  <si>
    <r>
      <t>s</t>
    </r>
    <r>
      <rPr>
        <sz val="10"/>
        <color rgb="FF000000"/>
        <rFont val="Arial"/>
      </rPr>
      <t>orting</t>
    </r>
    <phoneticPr fontId="7"/>
  </si>
  <si>
    <r>
      <t>Top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K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Frequent</t>
    </r>
    <r>
      <rPr>
        <sz val="10"/>
        <color rgb="FF000000"/>
        <rFont val="Arial"/>
      </rPr>
      <t xml:space="preserve"> </t>
    </r>
    <r>
      <rPr>
        <sz val="10"/>
        <color rgb="FF000000"/>
        <rFont val="Arial"/>
      </rPr>
      <t>Elements</t>
    </r>
    <phoneticPr fontId="7"/>
  </si>
  <si>
    <t>Algorithm</t>
    <phoneticPr fontId="7"/>
  </si>
  <si>
    <r>
      <t>a</t>
    </r>
    <r>
      <rPr>
        <sz val="10"/>
        <color rgb="FF000000"/>
        <rFont val="Arial"/>
      </rPr>
      <t>lgo</t>
    </r>
    <phoneticPr fontId="7"/>
  </si>
  <si>
    <r>
      <t>s</t>
    </r>
    <r>
      <rPr>
        <sz val="10"/>
        <rFont val="Arial"/>
        <family val="2"/>
      </rPr>
      <t>um</t>
    </r>
    <phoneticPr fontId="7"/>
  </si>
  <si>
    <t>sum</t>
    <phoneticPr fontId="7"/>
  </si>
  <si>
    <t>Majority Element</t>
    <phoneticPr fontId="7"/>
  </si>
  <si>
    <t>Largest Number</t>
    <phoneticPr fontId="7"/>
  </si>
  <si>
    <t>給一個陣列 一個整數target 求陣列內兩個元素相加等於target的該兩個元素的index (剛好一組解)</t>
    <phoneticPr fontId="7"/>
  </si>
  <si>
    <t>Medium</t>
    <phoneticPr fontId="7"/>
  </si>
  <si>
    <t>Medium</t>
    <phoneticPr fontId="7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</si>
  <si>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</si>
  <si>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</si>
  <si>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</si>
  <si>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</si>
  <si>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</si>
  <si>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</si>
  <si>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</si>
  <si>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</si>
  <si>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</si>
  <si>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7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</si>
  <si>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</si>
  <si>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</si>
  <si>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</si>
  <si>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</si>
  <si>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</si>
  <si>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</si>
  <si>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</si>
  <si>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</si>
  <si>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</si>
  <si>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</si>
  <si>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</si>
  <si>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</si>
  <si>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</si>
  <si>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</si>
  <si>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</si>
  <si>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</si>
  <si>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r>
      <rPr>
        <sz val="10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rFont val="Arial"/>
        <family val="2"/>
      </rPr>
      <t>ListNode</t>
    </r>
    <r>
      <rPr>
        <sz val="10"/>
        <rFont val="Malgun Gothic Semilight"/>
        <family val="3"/>
        <charset val="129"/>
      </rPr>
      <t>來接，要注意的是如果某條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先結束的情況。
因為不知道</t>
    </r>
    <r>
      <rPr>
        <sz val="10"/>
        <rFont val="Arial"/>
        <family val="2"/>
      </rPr>
      <t>List1,List2</t>
    </r>
    <r>
      <rPr>
        <sz val="10"/>
        <rFont val="Malgun Gothic Semilight"/>
        <family val="3"/>
        <charset val="129"/>
      </rPr>
      <t>誰長，所以假設</t>
    </r>
    <r>
      <rPr>
        <sz val="10"/>
        <rFont val="Arial"/>
        <family val="2"/>
      </rPr>
      <t>List1</t>
    </r>
    <r>
      <rPr>
        <sz val="10"/>
        <rFont val="Malgun Gothic Semilight"/>
        <family val="3"/>
        <charset val="129"/>
      </rPr>
      <t>較長，
但在迴圈內就得處理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先結束的狀況。迴圈結束後，
再處理如果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rFont val="Arial"/>
        <family val="2"/>
      </rPr>
      <t>case</t>
    </r>
    <r>
      <rPr>
        <sz val="10"/>
        <rFont val="Malgun Gothic Semilight"/>
        <family val="3"/>
        <charset val="129"/>
      </rPr>
      <t>要處理。</t>
    </r>
    <phoneticPr fontId="7"/>
  </si>
  <si>
    <r>
      <rPr>
        <sz val="10"/>
        <rFont val="Malgun Gothic Semilight"/>
        <family val="3"/>
        <charset val="129"/>
      </rPr>
      <t>造一個</t>
    </r>
    <r>
      <rPr>
        <sz val="10"/>
        <rFont val="Arial"/>
        <family val="2"/>
      </rPr>
      <t>dummy node</t>
    </r>
    <r>
      <rPr>
        <sz val="10"/>
        <rFont val="Malgun Gothic Semilight"/>
        <family val="3"/>
        <charset val="129"/>
      </rPr>
      <t>，然後就進入迴圈，迴圈中分成四種</t>
    </r>
    <r>
      <rPr>
        <sz val="10"/>
        <rFont val="Arial"/>
        <family val="2"/>
      </rPr>
      <t>case, l1</t>
    </r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都還沒結束則比較大小，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已結束則把剩下來的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全部接上並回傳，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已結束則接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並回傳，兩者都結束也是回傳</t>
    </r>
    <phoneticPr fontId="7"/>
  </si>
  <si>
    <r>
      <t>sorting</t>
    </r>
    <r>
      <rPr>
        <sz val="10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7"/>
  </si>
  <si>
    <t>Find All Duplicates in an Array</t>
    <phoneticPr fontId="7"/>
  </si>
  <si>
    <r>
      <t>(1) element</t>
    </r>
    <r>
      <rPr>
        <sz val="10"/>
        <rFont val="Malgun Gothic Semilight"/>
        <family val="3"/>
        <charset val="129"/>
      </rPr>
      <t>介於</t>
    </r>
    <r>
      <rPr>
        <sz val="10"/>
        <rFont val="Arial"/>
        <family val="2"/>
      </rPr>
      <t xml:space="preserve">1~n 
(2) </t>
    </r>
    <r>
      <rPr>
        <sz val="10"/>
        <rFont val="Malgun Gothic Semilight"/>
        <family val="3"/>
        <charset val="129"/>
      </rPr>
      <t>所有元素出現</t>
    </r>
    <r>
      <rPr>
        <sz val="10"/>
        <rFont val="Arial"/>
        <family val="2"/>
      </rPr>
      <t>1</t>
    </r>
    <r>
      <rPr>
        <sz val="10"/>
        <rFont val="Malgun Gothic Semilight"/>
        <family val="3"/>
        <charset val="129"/>
      </rPr>
      <t>次或</t>
    </r>
    <r>
      <rPr>
        <sz val="10"/>
        <rFont val="Arial"/>
        <family val="2"/>
      </rPr>
      <t>2</t>
    </r>
    <r>
      <rPr>
        <sz val="10"/>
        <rFont val="Malgun Gothic Semilight"/>
        <family val="3"/>
        <charset val="129"/>
      </rPr>
      <t>次</t>
    </r>
    <r>
      <rPr>
        <sz val="10"/>
        <rFont val="Arial"/>
        <family val="2"/>
      </rPr>
      <t xml:space="preserve"> 
(3) </t>
    </r>
    <r>
      <rPr>
        <sz val="10"/>
        <rFont val="Malgun Gothic Semilight"/>
        <family val="3"/>
        <charset val="129"/>
      </rPr>
      <t>回傳所有重複的元素</t>
    </r>
    <r>
      <rPr>
        <sz val="10"/>
        <rFont val="Arial"/>
        <family val="2"/>
      </rPr>
      <t xml:space="preserve"> </t>
    </r>
    <phoneticPr fontId="7"/>
  </si>
  <si>
    <r>
      <rPr>
        <sz val="10"/>
        <rFont val="Malgun Gothic Semilight"/>
        <family val="3"/>
        <charset val="129"/>
      </rPr>
      <t>元素介於</t>
    </r>
    <r>
      <rPr>
        <sz val="10"/>
        <rFont val="Arial"/>
        <family val="2"/>
      </rPr>
      <t>1~n</t>
    </r>
    <r>
      <rPr>
        <sz val="10"/>
        <rFont val="Malgun Gothic Semilight"/>
        <family val="3"/>
        <charset val="129"/>
      </rPr>
      <t>就是最大的</t>
    </r>
    <r>
      <rPr>
        <sz val="10"/>
        <rFont val="Arial"/>
        <family val="2"/>
      </rPr>
      <t xml:space="preserve">hint  </t>
    </r>
    <r>
      <rPr>
        <sz val="10"/>
        <rFont val="Malgun Gothic Semilight"/>
        <family val="3"/>
        <charset val="129"/>
      </rPr>
      <t>用原本陣列的正負號來儲存一個或兩個的資訊 這樣可以不用多開</t>
    </r>
    <r>
      <rPr>
        <sz val="10"/>
        <rFont val="Arial"/>
        <family val="2"/>
      </rPr>
      <t>array</t>
    </r>
    <r>
      <rPr>
        <sz val="10"/>
        <rFont val="Malgun Gothic Semilight"/>
        <family val="3"/>
        <charset val="129"/>
      </rPr>
      <t>來儲存資料</t>
    </r>
    <phoneticPr fontId="7"/>
  </si>
  <si>
    <r>
      <rPr>
        <sz val="10"/>
        <rFont val="Malgun Gothic Semilight"/>
        <family val="3"/>
        <charset val="129"/>
      </rPr>
      <t>一開始寫得很複雜</t>
    </r>
    <r>
      <rPr>
        <sz val="10"/>
        <rFont val="Arial"/>
        <family val="2"/>
      </rPr>
      <t>(</t>
    </r>
    <r>
      <rPr>
        <sz val="10"/>
        <rFont val="Malgun Gothic Semilight"/>
        <family val="3"/>
        <charset val="129"/>
      </rPr>
      <t>而且還是一堆錯</t>
    </r>
    <r>
      <rPr>
        <sz val="10"/>
        <rFont val="Arial"/>
        <family val="2"/>
      </rPr>
      <t xml:space="preserve">) </t>
    </r>
    <r>
      <rPr>
        <sz val="10"/>
        <rFont val="Malgun Gothic Semilight"/>
        <family val="3"/>
        <charset val="129"/>
      </rPr>
      <t>但其實可以把寫法寫得很簡單
重點在於接</t>
    </r>
    <r>
      <rPr>
        <sz val="10"/>
        <rFont val="Arial"/>
        <family val="2"/>
      </rPr>
      <t>node</t>
    </r>
    <r>
      <rPr>
        <sz val="10"/>
        <rFont val="Malgun Gothic Semilight"/>
        <family val="3"/>
        <charset val="129"/>
      </rPr>
      <t>的時候不要都是接</t>
    </r>
    <r>
      <rPr>
        <sz val="10"/>
        <rFont val="Arial"/>
        <family val="2"/>
      </rPr>
      <t>left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right 
</t>
    </r>
    <r>
      <rPr>
        <sz val="10"/>
        <rFont val="Malgun Gothic Semilight"/>
        <family val="3"/>
        <charset val="129"/>
      </rPr>
      <t>要接</t>
    </r>
    <r>
      <rPr>
        <sz val="10"/>
        <rFont val="Arial"/>
        <family val="2"/>
      </rPr>
      <t>recur(left)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recur(right) </t>
    </r>
    <r>
      <rPr>
        <sz val="10"/>
        <rFont val="Malgun Gothic Semilight"/>
        <family val="3"/>
        <charset val="129"/>
      </rPr>
      <t>那會讓事情變簡單不少</t>
    </r>
    <phoneticPr fontId="7"/>
  </si>
  <si>
    <t xml:space="preserve">n+1個資料 資料範圍介於1到n 證明一定有重複 又假設重複只有一個 找出那個重複的 並且不能修改array本身 </t>
    <phoneticPr fontId="7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</si>
  <si>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</si>
  <si>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</si>
  <si>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</si>
  <si>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</si>
  <si>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</si>
  <si>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</si>
  <si>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</si>
  <si>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</si>
  <si>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</si>
  <si>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</si>
  <si>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</si>
  <si>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r>
      <rPr>
        <sz val="10"/>
        <color rgb="FF000000"/>
        <rFont val="Malgun Gothic Semilight"/>
        <family val="3"/>
        <charset val="129"/>
      </rPr>
      <t>給一個陣列和一個整數</t>
    </r>
    <r>
      <rPr>
        <sz val="10"/>
        <color rgb="FF000000"/>
        <rFont val="Arial"/>
      </rPr>
      <t xml:space="preserve">k </t>
    </r>
    <r>
      <rPr>
        <sz val="10"/>
        <color rgb="FF000000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</si>
  <si>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使用map計數</t>
  </si>
  <si>
    <r>
      <rPr>
        <sz val="10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rFont val="Arial"/>
        <family val="2"/>
      </rPr>
      <t>hashmap</t>
    </r>
    <r>
      <rPr>
        <sz val="10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</si>
  <si>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</si>
  <si>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</si>
  <si>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</si>
  <si>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</si>
  <si>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</si>
  <si>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</si>
  <si>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r>
      <rPr>
        <sz val="10"/>
        <rFont val="Malgun Gothic Semilight"/>
        <family val="3"/>
        <charset val="129"/>
      </rPr>
      <t>使用快慢指標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一開始兩者都指向</t>
    </r>
    <r>
      <rPr>
        <sz val="10"/>
        <rFont val="Arial"/>
        <family val="2"/>
      </rPr>
      <t xml:space="preserve">head </t>
    </r>
    <r>
      <rPr>
        <sz val="10"/>
        <rFont val="Malgun Gothic Semilight"/>
        <family val="3"/>
        <charset val="129"/>
      </rPr>
      <t>快指摽一次兩步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慢指摽一次一步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快慢指標重疊代表有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快指標走完代表沒有</t>
    </r>
    <phoneticPr fontId="7"/>
  </si>
  <si>
    <t xml:space="preserve">給一個陣列 元素沒有重複 回傳所有的排列 </t>
    <phoneticPr fontId="7"/>
  </si>
  <si>
    <t>給一個陣列 元素有重複 回傳所有的排列 但因為需要去重複所以比較難</t>
    <phoneticPr fontId="7"/>
  </si>
  <si>
    <r>
      <t>backtrack func</t>
    </r>
    <r>
      <rPr>
        <sz val="10"/>
        <rFont val="Malgun Gothic Semilight"/>
        <family val="3"/>
        <charset val="129"/>
      </rPr>
      <t>跳出條件是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</si>
  <si>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#46</t>
    </r>
    <r>
      <rPr>
        <sz val="10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7"/>
  </si>
  <si>
    <t>Permutations1</t>
    <phoneticPr fontId="7"/>
  </si>
  <si>
    <t xml:space="preserve"> No.</t>
    <phoneticPr fontId="7"/>
  </si>
  <si>
    <t xml:space="preserve">  Done? </t>
    <phoneticPr fontId="7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</si>
</sst>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4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2"/>
      <color theme="7" tint="0.59999389629810485"/>
      <name val="Calibri Light"/>
      <family val="3"/>
      <charset val="128"/>
      <scheme val="major"/>
    </font>
    <font>
      <sz val="10"/>
      <name val="Malgun Gothic Semilight"/>
      <family val="3"/>
      <charset val="129"/>
    </font>
    <font>
      <sz val="10"/>
      <color rgb="FF000000"/>
      <name val="Malgun Gothic Semilight"/>
      <family val="3"/>
      <charset val="129"/>
    </font>
    <font>
      <sz val="10"/>
      <color rgb="FF454545"/>
      <name val="Arial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3"/>
      <charset val="129"/>
    </font>
    <font>
      <sz val="10"/>
      <name val="Arial"/>
      <family val="3"/>
      <charset val="129"/>
    </font>
    <font>
      <b/>
      <sz val="10"/>
      <color theme="5" tint="0.39997558519241921"/>
      <name val="Arial"/>
      <family val="2"/>
    </font>
    <font>
      <sz val="10"/>
      <color rgb="FF000000"/>
      <name val="HGPｺﾞｼｯｸE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9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10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top"/>
    </xf>
    <xf numFmtId="0" fontId="11" fillId="2" borderId="0" xfId="0" applyFont="1" applyFill="1" applyAlignment="1">
      <alignment horizontal="center" vertical="top" wrapText="1"/>
    </xf>
    <xf numFmtId="0" fontId="11" fillId="2" borderId="0" xfId="0" applyFont="1" applyFill="1" applyAlignment="1">
      <alignment horizontal="right" vertical="top"/>
    </xf>
    <xf numFmtId="1" fontId="11" fillId="2" borderId="0" xfId="0" applyNumberFormat="1" applyFont="1" applyFill="1" applyAlignment="1">
      <alignment horizontal="right" vertical="top"/>
    </xf>
    <xf numFmtId="0" fontId="12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7" fillId="2" borderId="0" xfId="0" applyFont="1" applyFill="1" applyBorder="1" applyAlignment="1">
      <alignment horizontal="center" vertical="top"/>
    </xf>
    <xf numFmtId="0" fontId="18" fillId="0" borderId="0" xfId="0" applyFont="1" applyAlignment="1">
      <alignment vertical="top"/>
    </xf>
    <xf numFmtId="0" fontId="19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vertical="top" wrapText="1"/>
    </xf>
    <xf numFmtId="164" fontId="18" fillId="0" borderId="1" xfId="0" applyNumberFormat="1" applyFont="1" applyBorder="1" applyAlignment="1">
      <alignment vertical="top" wrapText="1"/>
    </xf>
    <xf numFmtId="0" fontId="0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vertical="top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4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right" vertical="top"/>
    </xf>
    <xf numFmtId="1" fontId="3" fillId="0" borderId="1" xfId="0" applyNumberFormat="1" applyFont="1" applyBorder="1" applyAlignment="1">
      <alignment horizontal="right" vertical="top"/>
    </xf>
    <xf numFmtId="0" fontId="0" fillId="0" borderId="1" xfId="0" applyFont="1" applyBorder="1" applyAlignment="1"/>
    <xf numFmtId="0" fontId="1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165" fontId="1" fillId="0" borderId="1" xfId="0" applyNumberFormat="1" applyFont="1" applyBorder="1" applyAlignment="1">
      <alignment horizontal="right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vertical="top" wrapText="1"/>
    </xf>
    <xf numFmtId="0" fontId="18" fillId="0" borderId="1" xfId="0" applyFont="1" applyBorder="1" applyAlignment="1">
      <alignment vertical="top"/>
    </xf>
    <xf numFmtId="0" fontId="5" fillId="0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6" fillId="0" borderId="1" xfId="0" applyFont="1" applyFill="1" applyBorder="1" applyAlignment="1">
      <alignment horizontal="left" vertical="top" wrapText="1"/>
    </xf>
    <xf numFmtId="0" fontId="6" fillId="0" borderId="1" xfId="0" applyFont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vertical="top" wrapText="1"/>
    </xf>
    <xf numFmtId="0" fontId="0" fillId="0" borderId="1" xfId="0" applyFont="1" applyBorder="1" applyAlignment="1">
      <alignment vertical="top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Font="1" applyFill="1" applyBorder="1" applyAlignment="1"/>
    <xf numFmtId="14" fontId="0" fillId="0" borderId="1" xfId="0" applyNumberFormat="1" applyFont="1" applyBorder="1" applyAlignment="1">
      <alignment vertical="top"/>
    </xf>
    <xf numFmtId="14" fontId="18" fillId="0" borderId="1" xfId="0" applyNumberFormat="1" applyFont="1" applyBorder="1" applyAlignment="1">
      <alignment vertical="top"/>
    </xf>
    <xf numFmtId="0" fontId="16" fillId="0" borderId="1" xfId="0" applyFont="1" applyBorder="1" applyAlignment="1">
      <alignment wrapText="1"/>
    </xf>
    <xf numFmtId="164" fontId="1" fillId="0" borderId="1" xfId="0" applyNumberFormat="1" applyFont="1" applyFill="1" applyBorder="1" applyAlignment="1">
      <alignment vertical="top" wrapText="1"/>
    </xf>
    <xf numFmtId="164" fontId="18" fillId="0" borderId="1" xfId="0" applyNumberFormat="1" applyFont="1" applyFill="1" applyBorder="1" applyAlignment="1">
      <alignment vertical="top" wrapText="1"/>
    </xf>
    <xf numFmtId="0" fontId="1" fillId="0" borderId="1" xfId="0" applyFont="1" applyFill="1" applyBorder="1" applyAlignment="1">
      <alignment horizontal="center" vertical="top" wrapText="1"/>
    </xf>
    <xf numFmtId="0" fontId="5" fillId="0" borderId="1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65" fontId="18" fillId="0" borderId="1" xfId="0" applyNumberFormat="1" applyFont="1" applyBorder="1" applyAlignment="1">
      <alignment vertical="top"/>
    </xf>
    <xf numFmtId="0" fontId="15" fillId="0" borderId="1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vertical="top" wrapText="1"/>
    </xf>
    <xf numFmtId="165" fontId="3" fillId="0" borderId="1" xfId="0" applyNumberFormat="1" applyFont="1" applyBorder="1" applyAlignment="1">
      <alignment horizontal="right" vertical="top" wrapText="1"/>
    </xf>
    <xf numFmtId="165" fontId="3" fillId="0" borderId="1" xfId="0" applyNumberFormat="1" applyFont="1" applyBorder="1" applyAlignment="1">
      <alignment horizontal="right" vertical="top"/>
    </xf>
    <xf numFmtId="165" fontId="1" fillId="0" borderId="1" xfId="0" applyNumberFormat="1" applyFont="1" applyBorder="1" applyAlignment="1">
      <alignment horizontal="right" vertical="top"/>
    </xf>
    <xf numFmtId="165" fontId="1" fillId="0" borderId="1" xfId="0" applyNumberFormat="1" applyFont="1" applyFill="1" applyBorder="1" applyAlignment="1">
      <alignment horizontal="right" vertical="top" wrapText="1"/>
    </xf>
    <xf numFmtId="165" fontId="3" fillId="0" borderId="1" xfId="0" applyNumberFormat="1" applyFont="1" applyFill="1" applyBorder="1" applyAlignment="1">
      <alignment horizontal="right" vertical="top"/>
    </xf>
    <xf numFmtId="165" fontId="5" fillId="0" borderId="1" xfId="0" applyNumberFormat="1" applyFont="1" applyBorder="1" applyAlignment="1">
      <alignment horizontal="right" vertical="top" wrapText="1"/>
    </xf>
    <xf numFmtId="165" fontId="5" fillId="0" borderId="1" xfId="0" applyNumberFormat="1" applyFont="1" applyBorder="1" applyAlignment="1">
      <alignment horizontal="right" vertical="top"/>
    </xf>
    <xf numFmtId="0" fontId="0" fillId="0" borderId="2" xfId="0" applyFont="1" applyBorder="1" applyAlignment="1"/>
    <xf numFmtId="0" fontId="2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vertical="top" wrapText="1"/>
    </xf>
    <xf numFmtId="165" fontId="3" fillId="0" borderId="2" xfId="0" applyNumberFormat="1" applyFont="1" applyBorder="1" applyAlignment="1">
      <alignment horizontal="right" vertical="top"/>
    </xf>
    <xf numFmtId="0" fontId="0" fillId="0" borderId="2" xfId="0" applyFont="1" applyBorder="1" applyAlignment="1">
      <alignment wrapText="1"/>
    </xf>
    <xf numFmtId="0" fontId="10" fillId="2" borderId="3" xfId="0" applyFont="1" applyFill="1" applyBorder="1" applyAlignment="1">
      <alignment horizontal="center" vertical="top"/>
    </xf>
    <xf numFmtId="0" fontId="8" fillId="2" borderId="3" xfId="0" applyFont="1" applyFill="1" applyBorder="1" applyAlignment="1">
      <alignment horizontal="center" vertical="top"/>
    </xf>
    <xf numFmtId="0" fontId="17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165" fontId="13" fillId="3" borderId="3" xfId="0" applyNumberFormat="1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/>
    </xf>
    <xf numFmtId="164" fontId="1" fillId="0" borderId="2" xfId="0" applyNumberFormat="1" applyFont="1" applyBorder="1" applyAlignment="1">
      <alignment vertical="top" wrapText="1"/>
    </xf>
    <xf numFmtId="0" fontId="1" fillId="0" borderId="2" xfId="0" applyFont="1" applyBorder="1" applyAlignment="1">
      <alignment horizontal="center" vertical="top" wrapText="1"/>
    </xf>
    <xf numFmtId="164" fontId="18" fillId="0" borderId="2" xfId="0" applyNumberFormat="1" applyFont="1" applyFill="1" applyBorder="1" applyAlignment="1">
      <alignment vertical="top" wrapText="1"/>
    </xf>
    <xf numFmtId="0" fontId="5" fillId="0" borderId="2" xfId="0" applyFont="1" applyFill="1" applyBorder="1" applyAlignment="1">
      <alignment vertical="top"/>
    </xf>
    <xf numFmtId="165" fontId="1" fillId="0" borderId="2" xfId="0" applyNumberFormat="1" applyFont="1" applyBorder="1" applyAlignment="1">
      <alignment horizontal="right" vertical="top" wrapText="1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</xdr:row>
          <xdr:rowOff>38100</xdr:rowOff>
        </xdr:from>
        <xdr:to>
          <xdr:col>2</xdr:col>
          <xdr:colOff>762000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Date</a:t>
              </a: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  <a:cs typeface="Arial" pitchFamily="2" charset="0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</xdr:row>
          <xdr:rowOff>63500</xdr:rowOff>
        </xdr:from>
        <xdr:to>
          <xdr:col>4</xdr:col>
          <xdr:colOff>520700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GPｺﾞｼｯｸE" pitchFamily="2" charset="-128"/>
                  <a:ea typeface="HGPｺﾞｼｯｸE" pitchFamily="2" charset="-128"/>
                </a:rPr>
                <a:t>No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1</xdr:row>
          <xdr:rowOff>63500</xdr:rowOff>
        </xdr:from>
        <xdr:to>
          <xdr:col>6</xdr:col>
          <xdr:colOff>635000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GPｺﾞｼｯｸE" pitchFamily="2" charset="-128"/>
                  <a:ea typeface="HGPｺﾞｼｯｸE" pitchFamily="2" charset="-128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="85" zoomScaleNormal="85" workbookViewId="0">
      <pane ySplit="3" topLeftCell="A4" activePane="bottomLeft" state="frozen"/>
      <selection pane="bottomLeft" activeCell="F6" sqref="F6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8" width="11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164</v>
      </c>
      <c r="B1" s="24" t="s">
        <v>215</v>
      </c>
      <c r="C1" s="33" t="s">
        <v>169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87">
        <f>COUNTA(B4:B200)</f>
        <v>82</v>
      </c>
      <c r="O1" s="87">
        <f>COUNTA(J10:J206)</f>
        <v>65</v>
      </c>
    </row>
    <row r="2" spans="1:30" s="23" customFormat="1" ht="16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8" t="s">
        <v>301</v>
      </c>
      <c r="O2" s="88" t="s">
        <v>302</v>
      </c>
    </row>
    <row r="3" spans="1:30" s="104" customFormat="1" ht="16">
      <c r="A3" s="95"/>
      <c r="B3" s="96"/>
      <c r="C3" s="97"/>
      <c r="D3" s="98"/>
      <c r="E3" s="98"/>
      <c r="F3" s="99"/>
      <c r="G3" s="98"/>
      <c r="H3" s="98"/>
      <c r="I3" s="99"/>
      <c r="J3" s="99"/>
      <c r="K3" s="100"/>
      <c r="L3" s="100"/>
      <c r="M3" s="101"/>
      <c r="N3" s="102">
        <v>49</v>
      </c>
      <c r="O3" s="103" t="str">
        <f>IF(COUNTIF(D4:D100,N3)&gt;0, "Done", "Not Yet!")</f>
        <v>Done</v>
      </c>
    </row>
    <row r="4" spans="1:30" s="86" customFormat="1" ht="92" thickBot="1">
      <c r="A4" s="89">
        <v>51</v>
      </c>
      <c r="B4" s="105">
        <v>43083</v>
      </c>
      <c r="C4" s="107">
        <v>43134</v>
      </c>
      <c r="D4" s="106">
        <v>101</v>
      </c>
      <c r="E4" s="92" t="s">
        <v>176</v>
      </c>
      <c r="F4" s="90" t="s">
        <v>174</v>
      </c>
      <c r="G4" s="108" t="s">
        <v>172</v>
      </c>
      <c r="H4" s="108" t="s">
        <v>173</v>
      </c>
      <c r="I4" s="91" t="s">
        <v>204</v>
      </c>
      <c r="J4" s="92" t="s">
        <v>205</v>
      </c>
      <c r="K4" s="109">
        <v>553</v>
      </c>
      <c r="L4" s="109">
        <v>8</v>
      </c>
      <c r="M4" s="93">
        <f>IF(ISBLANK(K4),,((K4-L4*2)+1000)/9)</f>
        <v>170.77777777777777</v>
      </c>
      <c r="N4" s="94"/>
      <c r="R4" s="94"/>
      <c r="S4" s="94"/>
      <c r="T4" s="94"/>
      <c r="U4" s="94"/>
      <c r="V4" s="94"/>
      <c r="W4" s="94"/>
      <c r="X4" s="94"/>
      <c r="Y4" s="94"/>
      <c r="Z4" s="94"/>
      <c r="AA4" s="94"/>
      <c r="AB4" s="94"/>
      <c r="AC4" s="94"/>
      <c r="AD4" s="94"/>
    </row>
    <row r="5" spans="1:30" s="45" customFormat="1" ht="53" thickBot="1">
      <c r="A5" s="34">
        <v>55</v>
      </c>
      <c r="B5" s="35">
        <v>43083</v>
      </c>
      <c r="C5" s="71">
        <v>43134</v>
      </c>
      <c r="D5" s="46">
        <v>226</v>
      </c>
      <c r="E5" s="42" t="s">
        <v>176</v>
      </c>
      <c r="F5" s="39" t="s">
        <v>182</v>
      </c>
      <c r="G5" s="73" t="s">
        <v>172</v>
      </c>
      <c r="H5" s="73" t="s">
        <v>173</v>
      </c>
      <c r="I5" s="50" t="s">
        <v>212</v>
      </c>
      <c r="J5" s="42" t="s">
        <v>213</v>
      </c>
      <c r="K5" s="48">
        <v>353</v>
      </c>
      <c r="L5" s="48">
        <v>8</v>
      </c>
      <c r="M5" s="80">
        <f>IF(ISBLANK(K5),,((K5-L5*2)+1000)/9)</f>
        <v>148.55555555555554</v>
      </c>
      <c r="N5" s="49"/>
      <c r="R5" s="49"/>
      <c r="S5" s="49"/>
      <c r="T5" s="49"/>
      <c r="U5" s="49"/>
      <c r="V5" s="49"/>
      <c r="W5" s="49"/>
      <c r="X5" s="49"/>
      <c r="Y5" s="49"/>
      <c r="Z5" s="49"/>
      <c r="AA5" s="63"/>
      <c r="AB5" s="63"/>
      <c r="AC5" s="63"/>
      <c r="AD5" s="63"/>
    </row>
    <row r="6" spans="1:30" s="45" customFormat="1" ht="118" thickBot="1">
      <c r="A6" s="34">
        <v>9</v>
      </c>
      <c r="B6" s="35">
        <v>43038</v>
      </c>
      <c r="C6" s="35">
        <v>43131</v>
      </c>
      <c r="D6" s="46">
        <v>46</v>
      </c>
      <c r="E6" s="42" t="s">
        <v>14</v>
      </c>
      <c r="F6" s="60" t="s">
        <v>300</v>
      </c>
      <c r="G6" s="42" t="s">
        <v>21</v>
      </c>
      <c r="H6" s="58" t="s">
        <v>160</v>
      </c>
      <c r="I6" s="41" t="s">
        <v>296</v>
      </c>
      <c r="J6" s="42" t="s">
        <v>298</v>
      </c>
      <c r="K6" s="84">
        <v>525</v>
      </c>
      <c r="L6" s="84">
        <v>17</v>
      </c>
      <c r="M6" s="79">
        <f>IF(ISBLANK(K6),,((K6-L6*2)+1000)/9)</f>
        <v>165.66666666666666</v>
      </c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49" customFormat="1" ht="31" thickBot="1">
      <c r="A7" s="34">
        <v>10</v>
      </c>
      <c r="B7" s="35">
        <v>43038</v>
      </c>
      <c r="C7" s="35">
        <v>43131</v>
      </c>
      <c r="D7" s="46">
        <v>47</v>
      </c>
      <c r="E7" s="42" t="s">
        <v>14</v>
      </c>
      <c r="F7" s="60" t="s">
        <v>22</v>
      </c>
      <c r="G7" s="42" t="s">
        <v>21</v>
      </c>
      <c r="H7" s="58" t="s">
        <v>160</v>
      </c>
      <c r="I7" s="41" t="s">
        <v>297</v>
      </c>
      <c r="J7" s="42" t="s">
        <v>299</v>
      </c>
      <c r="K7" s="84">
        <v>288</v>
      </c>
      <c r="L7" s="84">
        <v>14</v>
      </c>
      <c r="M7" s="79">
        <f>IF(ISBLANK(K7),,((K7-L7*2)+1000)/9)</f>
        <v>140</v>
      </c>
      <c r="R7" s="63"/>
      <c r="S7" s="63"/>
      <c r="T7" s="63"/>
      <c r="U7" s="63"/>
      <c r="V7" s="63"/>
      <c r="W7" s="63"/>
      <c r="X7" s="63"/>
      <c r="Y7" s="63"/>
      <c r="Z7" s="63"/>
      <c r="AA7" s="45"/>
      <c r="AB7" s="45"/>
      <c r="AC7" s="45"/>
      <c r="AD7" s="45"/>
    </row>
    <row r="8" spans="1:30" s="49" customFormat="1" ht="79" thickBot="1">
      <c r="A8" s="34">
        <v>82</v>
      </c>
      <c r="B8" s="67">
        <v>43130</v>
      </c>
      <c r="C8" s="68">
        <v>43130</v>
      </c>
      <c r="D8" s="37">
        <v>49</v>
      </c>
      <c r="E8" s="61" t="s">
        <v>14</v>
      </c>
      <c r="F8" s="39" t="s">
        <v>291</v>
      </c>
      <c r="G8" s="61" t="s">
        <v>97</v>
      </c>
      <c r="H8" s="40" t="s">
        <v>292</v>
      </c>
      <c r="I8" s="50" t="s">
        <v>293</v>
      </c>
      <c r="J8" s="42" t="s">
        <v>294</v>
      </c>
      <c r="K8" s="85">
        <v>437</v>
      </c>
      <c r="L8" s="85">
        <v>38</v>
      </c>
      <c r="M8" s="80">
        <f>IF(ISBLANK(K8),,((K8-L8*2)+1000)/9)</f>
        <v>151.22222222222223</v>
      </c>
      <c r="N8" s="45"/>
      <c r="O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</row>
    <row r="9" spans="1:30" s="49" customFormat="1" ht="27" thickBot="1">
      <c r="A9" s="34">
        <v>69</v>
      </c>
      <c r="B9" s="35">
        <v>43087</v>
      </c>
      <c r="C9" s="68">
        <v>43130</v>
      </c>
      <c r="D9" s="51">
        <v>169</v>
      </c>
      <c r="E9" s="42" t="s">
        <v>32</v>
      </c>
      <c r="F9" s="39" t="s">
        <v>236</v>
      </c>
      <c r="G9" s="52" t="s">
        <v>232</v>
      </c>
      <c r="H9" s="52" t="s">
        <v>233</v>
      </c>
      <c r="I9" s="50" t="s">
        <v>246</v>
      </c>
      <c r="J9" s="42" t="s">
        <v>247</v>
      </c>
      <c r="K9" s="84">
        <v>416</v>
      </c>
      <c r="L9" s="84">
        <v>39</v>
      </c>
      <c r="M9" s="79">
        <f>IF(ISBLANK(K9),,((K9-L9*2)+1000)/9)</f>
        <v>148.66666666666666</v>
      </c>
      <c r="AA9" s="45"/>
      <c r="AB9" s="45"/>
      <c r="AC9" s="45"/>
      <c r="AD9" s="45"/>
    </row>
    <row r="10" spans="1:30" s="49" customFormat="1" ht="27" thickBot="1">
      <c r="A10" s="34">
        <v>65</v>
      </c>
      <c r="B10" s="35">
        <v>43087</v>
      </c>
      <c r="C10" s="68">
        <v>43130</v>
      </c>
      <c r="D10" s="37">
        <v>347</v>
      </c>
      <c r="E10" s="38" t="s">
        <v>219</v>
      </c>
      <c r="F10" s="54" t="s">
        <v>231</v>
      </c>
      <c r="G10" s="38" t="s">
        <v>232</v>
      </c>
      <c r="H10" s="38" t="s">
        <v>233</v>
      </c>
      <c r="I10" s="77" t="s">
        <v>286</v>
      </c>
      <c r="J10" s="56" t="s">
        <v>290</v>
      </c>
      <c r="K10" s="85">
        <v>308</v>
      </c>
      <c r="L10" s="85">
        <v>24</v>
      </c>
      <c r="M10" s="80">
        <f>IF(ISBLANK(K10),,((K10-L10*2)+1000)/9)</f>
        <v>140</v>
      </c>
      <c r="N10" s="45"/>
      <c r="O10" s="45"/>
      <c r="P10" s="45"/>
      <c r="Q10" s="45"/>
      <c r="R10" s="45"/>
      <c r="S10" s="45"/>
      <c r="T10" s="45"/>
      <c r="U10" s="45"/>
      <c r="V10" s="45"/>
      <c r="W10" s="45"/>
      <c r="X10" s="45"/>
      <c r="Y10" s="45"/>
      <c r="Z10" s="45"/>
    </row>
    <row r="11" spans="1:30" s="49" customFormat="1" ht="131" thickBot="1">
      <c r="A11" s="34">
        <v>63</v>
      </c>
      <c r="B11" s="35">
        <v>43087</v>
      </c>
      <c r="C11" s="68">
        <v>43130</v>
      </c>
      <c r="D11" s="37">
        <v>1</v>
      </c>
      <c r="E11" s="38" t="s">
        <v>219</v>
      </c>
      <c r="F11" s="39" t="s">
        <v>222</v>
      </c>
      <c r="G11" s="38" t="s">
        <v>232</v>
      </c>
      <c r="H11" s="40" t="s">
        <v>234</v>
      </c>
      <c r="I11" s="41" t="s">
        <v>238</v>
      </c>
      <c r="J11" s="78" t="s">
        <v>288</v>
      </c>
      <c r="K11" s="85">
        <v>3213</v>
      </c>
      <c r="L11" s="85">
        <v>100</v>
      </c>
      <c r="M11" s="80">
        <f>IF(ISBLANK(K11),,((K11-L11*2)+1000)/9)</f>
        <v>445.88888888888891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30" s="49" customFormat="1" ht="33" customHeight="1" thickBot="1">
      <c r="A12" s="34">
        <v>64</v>
      </c>
      <c r="B12" s="35">
        <v>43087</v>
      </c>
      <c r="C12" s="68">
        <v>43130</v>
      </c>
      <c r="D12" s="46">
        <v>15</v>
      </c>
      <c r="E12" s="42" t="s">
        <v>239</v>
      </c>
      <c r="F12" s="39" t="s">
        <v>223</v>
      </c>
      <c r="G12" s="38" t="s">
        <v>232</v>
      </c>
      <c r="H12" s="42" t="s">
        <v>235</v>
      </c>
      <c r="I12" s="41" t="s">
        <v>250</v>
      </c>
      <c r="J12" s="47" t="s">
        <v>289</v>
      </c>
      <c r="K12" s="48">
        <v>905</v>
      </c>
      <c r="L12" s="48">
        <v>103</v>
      </c>
      <c r="M12" s="80">
        <f>IF(ISBLANK(K12),,((K12-L12*2)+1000)/9)</f>
        <v>188.77777777777777</v>
      </c>
      <c r="O12" s="45"/>
      <c r="P12" s="45"/>
      <c r="Q12" s="45"/>
    </row>
    <row r="13" spans="1:30" s="49" customFormat="1" ht="76" thickBot="1">
      <c r="A13" s="34">
        <v>46</v>
      </c>
      <c r="B13" s="35">
        <v>43072</v>
      </c>
      <c r="C13" s="68">
        <v>43130</v>
      </c>
      <c r="D13" s="46">
        <v>167</v>
      </c>
      <c r="E13" s="42" t="s">
        <v>32</v>
      </c>
      <c r="F13" s="39" t="s">
        <v>96</v>
      </c>
      <c r="G13" s="42" t="s">
        <v>97</v>
      </c>
      <c r="H13" s="42" t="s">
        <v>10</v>
      </c>
      <c r="I13" s="50" t="s">
        <v>98</v>
      </c>
      <c r="J13" s="42" t="s">
        <v>99</v>
      </c>
      <c r="K13" s="48">
        <v>245</v>
      </c>
      <c r="L13" s="48">
        <v>114</v>
      </c>
      <c r="M13" s="79">
        <f>IF(ISBLANK(K13),,((K13-L13*2)+1000)/9)</f>
        <v>113</v>
      </c>
      <c r="AA13" s="45"/>
      <c r="AB13" s="45"/>
      <c r="AC13" s="45"/>
      <c r="AD13" s="45"/>
    </row>
    <row r="14" spans="1:30" s="49" customFormat="1" ht="27" thickBot="1">
      <c r="A14" s="34">
        <v>15</v>
      </c>
      <c r="B14" s="35">
        <v>43042</v>
      </c>
      <c r="C14" s="36">
        <v>43130</v>
      </c>
      <c r="D14" s="46">
        <v>349</v>
      </c>
      <c r="E14" s="42" t="s">
        <v>32</v>
      </c>
      <c r="F14" s="39" t="s">
        <v>135</v>
      </c>
      <c r="G14" s="42" t="s">
        <v>12</v>
      </c>
      <c r="H14" s="42" t="s">
        <v>13</v>
      </c>
      <c r="I14" s="50" t="s">
        <v>136</v>
      </c>
      <c r="J14" s="42" t="s">
        <v>137</v>
      </c>
      <c r="K14" s="84"/>
      <c r="L14" s="84"/>
      <c r="M14" s="79">
        <f>IF(ISBLANK(K14),,((K14-L14*2)+1000)/9)</f>
        <v>0</v>
      </c>
      <c r="AA14" s="45"/>
      <c r="AB14" s="45"/>
      <c r="AC14" s="45"/>
      <c r="AD14" s="45"/>
    </row>
    <row r="15" spans="1:30" s="49" customFormat="1" ht="40" thickBot="1">
      <c r="A15" s="34">
        <v>81</v>
      </c>
      <c r="B15" s="35">
        <v>43130</v>
      </c>
      <c r="C15" s="36">
        <v>43130</v>
      </c>
      <c r="D15" s="46">
        <v>350</v>
      </c>
      <c r="E15" s="42" t="s">
        <v>32</v>
      </c>
      <c r="F15" s="39" t="s">
        <v>283</v>
      </c>
      <c r="G15" s="42" t="s">
        <v>12</v>
      </c>
      <c r="H15" s="42" t="s">
        <v>13</v>
      </c>
      <c r="I15" s="50" t="s">
        <v>284</v>
      </c>
      <c r="J15" s="42" t="s">
        <v>285</v>
      </c>
      <c r="K15" s="84">
        <v>159</v>
      </c>
      <c r="L15" s="84">
        <v>77</v>
      </c>
      <c r="M15" s="79">
        <f>IF(ISBLANK(K15),,((K15-L15*2)+1000)/9)</f>
        <v>111.66666666666667</v>
      </c>
      <c r="R15" s="45"/>
      <c r="S15" s="45"/>
      <c r="T15" s="45"/>
      <c r="U15" s="45"/>
      <c r="V15" s="45"/>
      <c r="W15" s="45"/>
      <c r="X15" s="45"/>
      <c r="Y15" s="45"/>
      <c r="Z15" s="45"/>
    </row>
    <row r="16" spans="1:30" s="49" customFormat="1" ht="40" thickBot="1">
      <c r="A16" s="34">
        <v>80</v>
      </c>
      <c r="B16" s="35">
        <v>43127</v>
      </c>
      <c r="C16" s="36">
        <v>43127</v>
      </c>
      <c r="D16" s="37">
        <v>92</v>
      </c>
      <c r="E16" s="61" t="s">
        <v>14</v>
      </c>
      <c r="F16" s="39" t="s">
        <v>280</v>
      </c>
      <c r="G16" s="61" t="s">
        <v>17</v>
      </c>
      <c r="H16" s="40" t="s">
        <v>19</v>
      </c>
      <c r="I16" s="50" t="s">
        <v>281</v>
      </c>
      <c r="J16" s="50" t="s">
        <v>282</v>
      </c>
      <c r="K16" s="85">
        <v>309</v>
      </c>
      <c r="L16" s="85">
        <v>30</v>
      </c>
      <c r="M16" s="79">
        <f>IF(ISBLANK(K16),,((K16-L16*2)+1000)/9)</f>
        <v>138.77777777777777</v>
      </c>
      <c r="N16" s="45"/>
      <c r="O16" s="45"/>
      <c r="P16" s="45"/>
      <c r="Q16" s="45"/>
    </row>
    <row r="17" spans="1:30" s="49" customFormat="1" ht="40" thickBot="1">
      <c r="A17" s="34">
        <v>78</v>
      </c>
      <c r="B17" s="67">
        <v>43127</v>
      </c>
      <c r="C17" s="67">
        <v>43127</v>
      </c>
      <c r="D17" s="37">
        <v>141</v>
      </c>
      <c r="E17" s="61" t="s">
        <v>32</v>
      </c>
      <c r="F17" s="39" t="s">
        <v>276</v>
      </c>
      <c r="G17" s="61" t="s">
        <v>17</v>
      </c>
      <c r="H17" s="40" t="s">
        <v>19</v>
      </c>
      <c r="I17" s="50" t="s">
        <v>277</v>
      </c>
      <c r="J17" s="42" t="s">
        <v>295</v>
      </c>
      <c r="K17" s="85">
        <v>454</v>
      </c>
      <c r="L17" s="85">
        <v>22</v>
      </c>
      <c r="M17" s="79">
        <f>IF(ISBLANK(K17),,((K17-L17*2)+1000)/9)</f>
        <v>156.66666666666666</v>
      </c>
      <c r="N17" s="45"/>
      <c r="O17" s="45"/>
      <c r="P17" s="45"/>
      <c r="Q17" s="45"/>
      <c r="R17" s="45"/>
      <c r="S17" s="45"/>
      <c r="T17" s="45"/>
      <c r="U17" s="45"/>
      <c r="V17" s="45"/>
      <c r="W17" s="45"/>
      <c r="X17" s="45"/>
      <c r="Y17" s="45"/>
      <c r="Z17" s="45"/>
    </row>
    <row r="18" spans="1:30" s="49" customFormat="1" ht="40" thickBot="1">
      <c r="A18" s="34">
        <v>79</v>
      </c>
      <c r="B18" s="67">
        <v>43127</v>
      </c>
      <c r="C18" s="67">
        <v>43127</v>
      </c>
      <c r="D18" s="37">
        <v>142</v>
      </c>
      <c r="E18" s="61" t="s">
        <v>14</v>
      </c>
      <c r="F18" s="39" t="s">
        <v>275</v>
      </c>
      <c r="G18" s="61" t="s">
        <v>17</v>
      </c>
      <c r="H18" s="40" t="s">
        <v>19</v>
      </c>
      <c r="I18" s="50" t="s">
        <v>278</v>
      </c>
      <c r="J18" s="42" t="s">
        <v>279</v>
      </c>
      <c r="K18" s="85">
        <v>394</v>
      </c>
      <c r="L18" s="85">
        <v>23</v>
      </c>
      <c r="M18" s="79">
        <f>IF(ISBLANK(K18),,((K18-L18*2)+1000)/9)</f>
        <v>149.77777777777777</v>
      </c>
      <c r="N18" s="45"/>
      <c r="O18" s="45"/>
      <c r="P18" s="45"/>
      <c r="Q18" s="45"/>
      <c r="AA18" s="45"/>
      <c r="AB18" s="45"/>
      <c r="AC18" s="45"/>
      <c r="AD18" s="45"/>
    </row>
    <row r="19" spans="1:30" s="49" customFormat="1" ht="40" thickBot="1">
      <c r="A19" s="34">
        <v>57</v>
      </c>
      <c r="B19" s="35">
        <v>43084</v>
      </c>
      <c r="C19" s="36">
        <v>43125</v>
      </c>
      <c r="D19" s="64">
        <v>21</v>
      </c>
      <c r="E19" s="40" t="s">
        <v>32</v>
      </c>
      <c r="F19" s="39" t="s">
        <v>189</v>
      </c>
      <c r="G19" s="65" t="s">
        <v>17</v>
      </c>
      <c r="H19" s="65" t="s">
        <v>19</v>
      </c>
      <c r="I19" s="50" t="s">
        <v>193</v>
      </c>
      <c r="J19" s="50" t="s">
        <v>268</v>
      </c>
      <c r="K19" s="81">
        <v>452</v>
      </c>
      <c r="L19" s="81">
        <v>102</v>
      </c>
      <c r="M19" s="80">
        <f>IF(ISBLANK(K19),,((K19-L19*2)+1000)/9)</f>
        <v>138.66666666666666</v>
      </c>
    </row>
    <row r="20" spans="1:30" s="49" customFormat="1" ht="66" thickBot="1">
      <c r="A20" s="34">
        <v>56</v>
      </c>
      <c r="B20" s="35">
        <v>43084</v>
      </c>
      <c r="C20" s="36">
        <v>43125</v>
      </c>
      <c r="D20" s="64">
        <v>23</v>
      </c>
      <c r="E20" s="40" t="s">
        <v>192</v>
      </c>
      <c r="F20" s="39" t="s">
        <v>190</v>
      </c>
      <c r="G20" s="65" t="s">
        <v>17</v>
      </c>
      <c r="H20" s="65" t="s">
        <v>19</v>
      </c>
      <c r="I20" s="50" t="s">
        <v>194</v>
      </c>
      <c r="J20" s="50" t="s">
        <v>269</v>
      </c>
      <c r="K20" s="81">
        <v>526</v>
      </c>
      <c r="L20" s="81">
        <v>40</v>
      </c>
      <c r="M20" s="80">
        <f>IF(ISBLANK(K20),,((K20-L20*2)+1000)/9)</f>
        <v>160.66666666666666</v>
      </c>
      <c r="O20" s="45"/>
      <c r="P20" s="45"/>
      <c r="Q20" s="45"/>
      <c r="R20" s="45"/>
      <c r="S20" s="45"/>
      <c r="T20" s="45"/>
      <c r="U20" s="45"/>
      <c r="V20" s="45"/>
      <c r="W20" s="45"/>
      <c r="X20" s="45"/>
      <c r="Y20" s="45"/>
      <c r="Z20" s="45"/>
    </row>
    <row r="21" spans="1:30" s="49" customFormat="1" ht="46" thickBot="1">
      <c r="A21" s="34">
        <v>77</v>
      </c>
      <c r="B21" s="35">
        <v>43125</v>
      </c>
      <c r="C21" s="36">
        <v>43125</v>
      </c>
      <c r="D21" s="37">
        <v>206</v>
      </c>
      <c r="E21" s="61" t="s">
        <v>32</v>
      </c>
      <c r="F21" s="39" t="s">
        <v>264</v>
      </c>
      <c r="G21" s="61" t="s">
        <v>17</v>
      </c>
      <c r="H21" s="40" t="s">
        <v>19</v>
      </c>
      <c r="I21" s="50" t="s">
        <v>265</v>
      </c>
      <c r="J21" s="50" t="s">
        <v>266</v>
      </c>
      <c r="K21" s="85">
        <v>620</v>
      </c>
      <c r="L21" s="85">
        <v>16</v>
      </c>
      <c r="M21" s="79">
        <f>IF(ISBLANK(K21),,((K21-L21*2)+1000)/9)</f>
        <v>176.44444444444446</v>
      </c>
      <c r="N21" s="45"/>
      <c r="O21" s="45"/>
      <c r="P21" s="45"/>
      <c r="Q21" s="45"/>
    </row>
    <row r="22" spans="1:30" s="49" customFormat="1" ht="53" thickBot="1">
      <c r="A22" s="34">
        <v>76</v>
      </c>
      <c r="B22" s="35">
        <v>43125</v>
      </c>
      <c r="C22" s="36">
        <v>43125</v>
      </c>
      <c r="D22" s="37">
        <v>538</v>
      </c>
      <c r="E22" s="61" t="s">
        <v>32</v>
      </c>
      <c r="F22" s="39" t="s">
        <v>260</v>
      </c>
      <c r="G22" s="61" t="s">
        <v>27</v>
      </c>
      <c r="H22" s="40" t="s">
        <v>120</v>
      </c>
      <c r="I22" s="50" t="s">
        <v>261</v>
      </c>
      <c r="J22" s="42" t="s">
        <v>262</v>
      </c>
      <c r="K22" s="85">
        <v>448</v>
      </c>
      <c r="L22" s="85">
        <v>38</v>
      </c>
      <c r="M22" s="79">
        <f>IF(ISBLANK(K22),,((K22-L22*2)+1000)/9)</f>
        <v>152.44444444444446</v>
      </c>
      <c r="N22" s="45"/>
      <c r="O22" s="45"/>
      <c r="P22" s="45"/>
      <c r="Q22" s="45"/>
    </row>
    <row r="23" spans="1:30" s="49" customFormat="1" ht="14" thickBot="1">
      <c r="A23" s="34">
        <v>50</v>
      </c>
      <c r="B23" s="70">
        <v>43083</v>
      </c>
      <c r="C23" s="71">
        <v>43124</v>
      </c>
      <c r="D23" s="72">
        <v>100</v>
      </c>
      <c r="E23" s="73" t="s">
        <v>175</v>
      </c>
      <c r="F23" s="39" t="s">
        <v>171</v>
      </c>
      <c r="G23" s="73" t="s">
        <v>172</v>
      </c>
      <c r="H23" s="73" t="s">
        <v>173</v>
      </c>
      <c r="I23" s="39" t="s">
        <v>202</v>
      </c>
      <c r="J23" s="60" t="s">
        <v>203</v>
      </c>
      <c r="K23" s="82">
        <v>264</v>
      </c>
      <c r="L23" s="82">
        <v>8</v>
      </c>
      <c r="M23" s="83">
        <f>IF(ISBLANK(K23),,((K23-L23*2)+1000)/9)</f>
        <v>138.66666666666666</v>
      </c>
      <c r="O23" s="45"/>
      <c r="P23" s="45"/>
      <c r="Q23" s="45"/>
    </row>
    <row r="24" spans="1:30" s="49" customFormat="1" ht="14" thickBot="1">
      <c r="A24" s="34">
        <v>74</v>
      </c>
      <c r="B24" s="67">
        <v>43123</v>
      </c>
      <c r="C24" s="68">
        <v>43123</v>
      </c>
      <c r="D24" s="37">
        <v>94</v>
      </c>
      <c r="E24" s="61" t="s">
        <v>14</v>
      </c>
      <c r="F24" s="39" t="s">
        <v>255</v>
      </c>
      <c r="G24" s="61" t="s">
        <v>27</v>
      </c>
      <c r="H24" s="40" t="s">
        <v>254</v>
      </c>
      <c r="I24" s="50" t="s">
        <v>256</v>
      </c>
      <c r="J24" s="69" t="s">
        <v>259</v>
      </c>
      <c r="K24" s="85">
        <v>378</v>
      </c>
      <c r="L24" s="85">
        <v>13</v>
      </c>
      <c r="M24" s="80">
        <f>IF(ISBLANK(K24),,((K24-L24*2)+1000)/9)</f>
        <v>150.22222222222223</v>
      </c>
      <c r="N24" s="45"/>
      <c r="O24" s="45"/>
      <c r="P24" s="45"/>
      <c r="Q24" s="45"/>
    </row>
    <row r="25" spans="1:30" s="49" customFormat="1" ht="40" thickBot="1">
      <c r="A25" s="34">
        <v>73</v>
      </c>
      <c r="B25" s="67">
        <v>43123</v>
      </c>
      <c r="C25" s="68">
        <v>43123</v>
      </c>
      <c r="D25" s="37">
        <v>144</v>
      </c>
      <c r="E25" s="61" t="s">
        <v>14</v>
      </c>
      <c r="F25" s="39" t="s">
        <v>253</v>
      </c>
      <c r="G25" s="61" t="s">
        <v>27</v>
      </c>
      <c r="H25" s="40" t="s">
        <v>254</v>
      </c>
      <c r="I25" s="50" t="s">
        <v>256</v>
      </c>
      <c r="J25" s="69" t="s">
        <v>263</v>
      </c>
      <c r="K25" s="85">
        <v>143</v>
      </c>
      <c r="L25" s="85">
        <v>12</v>
      </c>
      <c r="M25" s="80">
        <f>IF(ISBLANK(K25),,((K25-L25*2)+1000)/9)</f>
        <v>124.33333333333333</v>
      </c>
      <c r="N25" s="45"/>
      <c r="O25" s="45"/>
      <c r="P25" s="45"/>
      <c r="Q25" s="45"/>
    </row>
    <row r="26" spans="1:30" s="49" customFormat="1" ht="66" thickBot="1">
      <c r="A26" s="34">
        <v>75</v>
      </c>
      <c r="B26" s="67">
        <v>43123</v>
      </c>
      <c r="C26" s="68">
        <v>43123</v>
      </c>
      <c r="D26" s="37">
        <v>145</v>
      </c>
      <c r="E26" s="61" t="s">
        <v>192</v>
      </c>
      <c r="F26" s="39" t="s">
        <v>257</v>
      </c>
      <c r="G26" s="61" t="s">
        <v>27</v>
      </c>
      <c r="H26" s="40" t="s">
        <v>254</v>
      </c>
      <c r="I26" s="50" t="s">
        <v>256</v>
      </c>
      <c r="J26" s="42" t="s">
        <v>258</v>
      </c>
      <c r="K26" s="85">
        <v>231</v>
      </c>
      <c r="L26" s="85">
        <v>18</v>
      </c>
      <c r="M26" s="80">
        <f>IF(ISBLANK(K26),,((K26-L26*2)+1000)/9)</f>
        <v>132.77777777777777</v>
      </c>
      <c r="N26" s="45"/>
      <c r="O26" s="45"/>
      <c r="P26" s="45"/>
      <c r="Q26" s="45"/>
      <c r="AA26" s="45"/>
      <c r="AB26" s="45"/>
      <c r="AC26" s="45"/>
      <c r="AD26" s="45"/>
    </row>
    <row r="27" spans="1:30" s="49" customFormat="1" ht="66" thickBot="1">
      <c r="A27" s="34">
        <v>70</v>
      </c>
      <c r="B27" s="35">
        <v>43087</v>
      </c>
      <c r="C27" s="36">
        <v>43087</v>
      </c>
      <c r="D27" s="37">
        <v>179</v>
      </c>
      <c r="E27" s="42" t="s">
        <v>14</v>
      </c>
      <c r="F27" s="39" t="s">
        <v>237</v>
      </c>
      <c r="G27" s="38" t="s">
        <v>232</v>
      </c>
      <c r="H27" s="38" t="s">
        <v>233</v>
      </c>
      <c r="I27" s="50" t="s">
        <v>248</v>
      </c>
      <c r="J27" s="42" t="s">
        <v>249</v>
      </c>
      <c r="K27" s="85">
        <v>215</v>
      </c>
      <c r="L27" s="85">
        <v>23</v>
      </c>
      <c r="M27" s="80">
        <f>IF(ISBLANK(K27),,((K27-L27*2)+1000)/9)</f>
        <v>129.88888888888889</v>
      </c>
      <c r="N27" s="45"/>
      <c r="O27" s="45"/>
      <c r="P27" s="45"/>
      <c r="Q27" s="45"/>
    </row>
    <row r="28" spans="1:30" s="49" customFormat="1" ht="14" thickBot="1">
      <c r="A28" s="34">
        <v>68</v>
      </c>
      <c r="B28" s="35">
        <v>43087</v>
      </c>
      <c r="C28" s="36">
        <v>43087</v>
      </c>
      <c r="D28" s="37">
        <v>125</v>
      </c>
      <c r="E28" s="42" t="s">
        <v>32</v>
      </c>
      <c r="F28" s="54" t="s">
        <v>226</v>
      </c>
      <c r="G28" s="38" t="s">
        <v>227</v>
      </c>
      <c r="H28" s="38" t="s">
        <v>228</v>
      </c>
      <c r="I28" s="55" t="s">
        <v>245</v>
      </c>
      <c r="J28" s="56" t="s">
        <v>244</v>
      </c>
      <c r="K28" s="85">
        <v>126</v>
      </c>
      <c r="L28" s="85">
        <v>462</v>
      </c>
      <c r="M28" s="80">
        <f>IF(ISBLANK(K28),,((K28-L28*2)+1000)/9)</f>
        <v>22.444444444444443</v>
      </c>
      <c r="N28" s="45"/>
      <c r="O28" s="45"/>
      <c r="P28" s="45"/>
      <c r="Q28" s="45"/>
      <c r="R28" s="45"/>
      <c r="S28" s="45"/>
      <c r="T28" s="45"/>
      <c r="U28" s="45"/>
      <c r="V28" s="45"/>
      <c r="W28" s="45"/>
      <c r="X28" s="45"/>
      <c r="Y28" s="45"/>
      <c r="Z28" s="45"/>
    </row>
    <row r="29" spans="1:30" s="49" customFormat="1" ht="76" thickBot="1">
      <c r="A29" s="34">
        <v>71</v>
      </c>
      <c r="B29" s="35">
        <v>43085</v>
      </c>
      <c r="C29" s="36">
        <v>43085</v>
      </c>
      <c r="D29" s="37">
        <v>22</v>
      </c>
      <c r="E29" s="61" t="s">
        <v>14</v>
      </c>
      <c r="F29" s="39" t="s">
        <v>241</v>
      </c>
      <c r="G29" s="61" t="s">
        <v>21</v>
      </c>
      <c r="H29" s="61" t="s">
        <v>29</v>
      </c>
      <c r="I29" s="50" t="s">
        <v>242</v>
      </c>
      <c r="J29" s="42" t="s">
        <v>243</v>
      </c>
      <c r="K29" s="85">
        <v>614</v>
      </c>
      <c r="L29" s="85">
        <v>41</v>
      </c>
      <c r="M29" s="80">
        <f>IF(ISBLANK(K29),,((K29-L29*2)+1000)/9)</f>
        <v>170.22222222222223</v>
      </c>
    </row>
    <row r="30" spans="1:30" s="49" customFormat="1" ht="76" thickBot="1">
      <c r="A30" s="34">
        <v>58</v>
      </c>
      <c r="B30" s="35">
        <v>43084</v>
      </c>
      <c r="C30" s="36">
        <v>43084</v>
      </c>
      <c r="D30" s="64">
        <v>19</v>
      </c>
      <c r="E30" s="40" t="s">
        <v>14</v>
      </c>
      <c r="F30" s="39" t="s">
        <v>191</v>
      </c>
      <c r="G30" s="65" t="s">
        <v>17</v>
      </c>
      <c r="H30" s="65" t="s">
        <v>19</v>
      </c>
      <c r="I30" s="50" t="s">
        <v>195</v>
      </c>
      <c r="J30" s="50" t="s">
        <v>214</v>
      </c>
      <c r="K30" s="81">
        <v>367</v>
      </c>
      <c r="L30" s="81">
        <v>22</v>
      </c>
      <c r="M30" s="80">
        <f>IF(ISBLANK(K30),,((K30-L30*2)+1000)/9)</f>
        <v>147</v>
      </c>
    </row>
    <row r="31" spans="1:30" s="49" customFormat="1" ht="40" thickBot="1">
      <c r="A31" s="34">
        <v>52</v>
      </c>
      <c r="B31" s="35">
        <v>43083</v>
      </c>
      <c r="C31" s="71">
        <v>43083</v>
      </c>
      <c r="D31" s="46">
        <v>111</v>
      </c>
      <c r="E31" s="42" t="s">
        <v>176</v>
      </c>
      <c r="F31" s="39" t="s">
        <v>177</v>
      </c>
      <c r="G31" s="73" t="s">
        <v>172</v>
      </c>
      <c r="H31" s="73" t="s">
        <v>173</v>
      </c>
      <c r="I31" s="50" t="s">
        <v>206</v>
      </c>
      <c r="J31" s="42" t="s">
        <v>207</v>
      </c>
      <c r="K31" s="48">
        <v>170</v>
      </c>
      <c r="L31" s="48">
        <v>74</v>
      </c>
      <c r="M31" s="80">
        <f>IF(ISBLANK(K31),,((K31-L31*2)+1000)/9)</f>
        <v>113.55555555555556</v>
      </c>
      <c r="O31" s="45"/>
      <c r="P31" s="45"/>
      <c r="Q31" s="45"/>
    </row>
    <row r="32" spans="1:30" s="49" customFormat="1" ht="14" thickBot="1">
      <c r="A32" s="34">
        <v>53</v>
      </c>
      <c r="B32" s="35">
        <v>43083</v>
      </c>
      <c r="C32" s="71">
        <v>43083</v>
      </c>
      <c r="D32" s="46">
        <v>112</v>
      </c>
      <c r="E32" s="42" t="s">
        <v>180</v>
      </c>
      <c r="F32" s="39" t="s">
        <v>178</v>
      </c>
      <c r="G32" s="73" t="s">
        <v>172</v>
      </c>
      <c r="H32" s="73" t="s">
        <v>173</v>
      </c>
      <c r="I32" s="50" t="s">
        <v>208</v>
      </c>
      <c r="J32" s="42" t="s">
        <v>209</v>
      </c>
      <c r="K32" s="48">
        <v>210</v>
      </c>
      <c r="L32" s="48">
        <v>69</v>
      </c>
      <c r="M32" s="80">
        <f>IF(ISBLANK(K32),,((K32-L32*2)+1000)/9)</f>
        <v>119.11111111111111</v>
      </c>
      <c r="O32" s="45"/>
      <c r="P32" s="45"/>
      <c r="Q32" s="45"/>
    </row>
    <row r="33" spans="1:30" s="49" customFormat="1" ht="14" thickBot="1">
      <c r="A33" s="34">
        <v>54</v>
      </c>
      <c r="B33" s="35">
        <v>43083</v>
      </c>
      <c r="C33" s="71">
        <v>43083</v>
      </c>
      <c r="D33" s="46">
        <v>113</v>
      </c>
      <c r="E33" s="42" t="s">
        <v>181</v>
      </c>
      <c r="F33" s="39" t="s">
        <v>179</v>
      </c>
      <c r="G33" s="73" t="s">
        <v>172</v>
      </c>
      <c r="H33" s="73" t="s">
        <v>173</v>
      </c>
      <c r="I33" s="50" t="s">
        <v>210</v>
      </c>
      <c r="J33" s="42" t="s">
        <v>211</v>
      </c>
      <c r="K33" s="48">
        <v>197</v>
      </c>
      <c r="L33" s="48">
        <v>7</v>
      </c>
      <c r="M33" s="80">
        <f>IF(ISBLANK(K33),,((K33-L33*2)+1000)/9)</f>
        <v>131.44444444444446</v>
      </c>
      <c r="O33" s="45"/>
      <c r="P33" s="45"/>
      <c r="Q33" s="45"/>
    </row>
    <row r="34" spans="1:30" s="49" customFormat="1" ht="27" thickBot="1">
      <c r="A34" s="34">
        <v>14</v>
      </c>
      <c r="B34" s="35">
        <v>43042</v>
      </c>
      <c r="C34" s="36">
        <v>43082</v>
      </c>
      <c r="D34" s="46">
        <v>215</v>
      </c>
      <c r="E34" s="42" t="s">
        <v>14</v>
      </c>
      <c r="F34" s="39" t="s">
        <v>110</v>
      </c>
      <c r="G34" s="42" t="s">
        <v>12</v>
      </c>
      <c r="H34" s="42" t="s">
        <v>13</v>
      </c>
      <c r="I34" s="50" t="s">
        <v>111</v>
      </c>
      <c r="J34" s="42" t="s">
        <v>112</v>
      </c>
      <c r="K34" s="84">
        <v>544</v>
      </c>
      <c r="L34" s="84">
        <v>56</v>
      </c>
      <c r="M34" s="79">
        <f>IF(ISBLANK(K34),,((K34-L34*2)+1000)/9)</f>
        <v>159.11111111111111</v>
      </c>
      <c r="N34" s="59"/>
    </row>
    <row r="35" spans="1:30" s="49" customFormat="1" ht="66" thickBot="1">
      <c r="A35" s="34">
        <v>16</v>
      </c>
      <c r="B35" s="35">
        <v>43042</v>
      </c>
      <c r="C35" s="36">
        <v>43082</v>
      </c>
      <c r="D35" s="46">
        <v>442</v>
      </c>
      <c r="E35" s="42" t="s">
        <v>14</v>
      </c>
      <c r="F35" s="39" t="s">
        <v>270</v>
      </c>
      <c r="G35" s="42" t="s">
        <v>12</v>
      </c>
      <c r="H35" s="42" t="s">
        <v>13</v>
      </c>
      <c r="I35" s="50" t="s">
        <v>271</v>
      </c>
      <c r="J35" s="42" t="s">
        <v>272</v>
      </c>
      <c r="K35" s="84">
        <v>325</v>
      </c>
      <c r="L35" s="84">
        <v>40</v>
      </c>
      <c r="M35" s="79">
        <f>IF(ISBLANK(K35),,((K35-L35*2)+1000)/9)</f>
        <v>138.33333333333334</v>
      </c>
      <c r="R35" s="45"/>
      <c r="S35" s="45"/>
      <c r="T35" s="45"/>
      <c r="U35" s="45"/>
      <c r="V35" s="45"/>
      <c r="W35" s="45"/>
      <c r="X35" s="45"/>
      <c r="Y35" s="45"/>
      <c r="Z35" s="45"/>
      <c r="AA35" s="45"/>
      <c r="AB35" s="45"/>
      <c r="AC35" s="45"/>
      <c r="AD35" s="45"/>
    </row>
    <row r="36" spans="1:30" s="49" customFormat="1" ht="41.25" customHeight="1" thickBot="1">
      <c r="A36" s="34">
        <v>44</v>
      </c>
      <c r="B36" s="35">
        <v>43064</v>
      </c>
      <c r="C36" s="36">
        <v>43082</v>
      </c>
      <c r="D36" s="46">
        <v>448</v>
      </c>
      <c r="E36" s="42" t="s">
        <v>32</v>
      </c>
      <c r="F36" s="57" t="s">
        <v>168</v>
      </c>
      <c r="G36" s="42" t="s">
        <v>12</v>
      </c>
      <c r="H36" s="42" t="s">
        <v>13</v>
      </c>
      <c r="I36" s="50" t="s">
        <v>146</v>
      </c>
      <c r="J36" s="42" t="s">
        <v>147</v>
      </c>
      <c r="K36" s="48">
        <v>434</v>
      </c>
      <c r="L36" s="48">
        <v>48</v>
      </c>
      <c r="M36" s="79">
        <f>IF(ISBLANK(K36),,((K36-L36*2)+1000)/9)</f>
        <v>148.66666666666666</v>
      </c>
      <c r="R36" s="62"/>
      <c r="S36" s="62"/>
      <c r="T36" s="62"/>
      <c r="U36" s="62"/>
      <c r="V36" s="62"/>
      <c r="W36" s="62"/>
      <c r="X36" s="62"/>
      <c r="Y36" s="62"/>
      <c r="Z36" s="62"/>
      <c r="AA36" s="62"/>
      <c r="AB36" s="62"/>
      <c r="AC36" s="62"/>
      <c r="AD36" s="62"/>
    </row>
    <row r="37" spans="1:30" s="49" customFormat="1" ht="67.5" customHeight="1" thickBot="1">
      <c r="A37" s="34">
        <v>48</v>
      </c>
      <c r="B37" s="35">
        <v>43074</v>
      </c>
      <c r="C37" s="36">
        <v>43082</v>
      </c>
      <c r="D37" s="46">
        <v>73</v>
      </c>
      <c r="E37" s="42" t="s">
        <v>14</v>
      </c>
      <c r="F37" s="39" t="s">
        <v>73</v>
      </c>
      <c r="G37" s="42" t="s">
        <v>12</v>
      </c>
      <c r="H37" s="42" t="s">
        <v>16</v>
      </c>
      <c r="I37" s="50" t="s">
        <v>74</v>
      </c>
      <c r="J37" s="42" t="s">
        <v>75</v>
      </c>
      <c r="K37" s="48">
        <v>218</v>
      </c>
      <c r="L37" s="48">
        <v>65</v>
      </c>
      <c r="M37" s="79">
        <f>IF(ISBLANK(K37),,((K37-L37*2)+1000)/9)</f>
        <v>120.88888888888889</v>
      </c>
      <c r="O37" s="45"/>
      <c r="P37" s="45"/>
      <c r="Q37" s="45"/>
      <c r="R37" s="45"/>
      <c r="S37" s="45"/>
      <c r="T37" s="45"/>
      <c r="U37" s="45"/>
      <c r="V37" s="45"/>
      <c r="W37" s="45"/>
      <c r="X37" s="45"/>
      <c r="Y37" s="45"/>
      <c r="Z37" s="45"/>
      <c r="AA37" s="45"/>
      <c r="AB37" s="45"/>
      <c r="AC37" s="45"/>
      <c r="AD37" s="45"/>
    </row>
    <row r="38" spans="1:30" s="49" customFormat="1" ht="40" thickBot="1">
      <c r="A38" s="34">
        <v>2</v>
      </c>
      <c r="B38" s="35">
        <v>43030</v>
      </c>
      <c r="C38" s="36">
        <v>43082</v>
      </c>
      <c r="D38" s="46">
        <v>225</v>
      </c>
      <c r="E38" s="42" t="s">
        <v>32</v>
      </c>
      <c r="F38" s="39" t="s">
        <v>113</v>
      </c>
      <c r="G38" s="42" t="s">
        <v>114</v>
      </c>
      <c r="H38" s="58" t="s">
        <v>165</v>
      </c>
      <c r="I38" s="50" t="s">
        <v>198</v>
      </c>
      <c r="J38" s="42" t="s">
        <v>170</v>
      </c>
      <c r="K38" s="84">
        <v>73</v>
      </c>
      <c r="L38" s="84">
        <v>136</v>
      </c>
      <c r="M38" s="79">
        <f>IF(ISBLANK(K38),,((K38-L38*2)+1000)/9)</f>
        <v>89</v>
      </c>
      <c r="N38" s="45"/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</row>
    <row r="39" spans="1:30" s="49" customFormat="1" ht="40" thickBot="1">
      <c r="A39" s="34">
        <v>1</v>
      </c>
      <c r="B39" s="35">
        <v>43029</v>
      </c>
      <c r="C39" s="36">
        <v>43082</v>
      </c>
      <c r="D39" s="46">
        <v>232</v>
      </c>
      <c r="E39" s="42" t="s">
        <v>32</v>
      </c>
      <c r="F39" s="39" t="s">
        <v>118</v>
      </c>
      <c r="G39" s="42" t="s">
        <v>114</v>
      </c>
      <c r="H39" s="58" t="s">
        <v>165</v>
      </c>
      <c r="I39" s="50" t="s">
        <v>196</v>
      </c>
      <c r="J39" s="42" t="s">
        <v>197</v>
      </c>
      <c r="K39" s="84">
        <v>124</v>
      </c>
      <c r="L39" s="84">
        <v>54</v>
      </c>
      <c r="M39" s="79">
        <f>IF(ISBLANK(K39),,((K39-L39*2)+1000)/9)</f>
        <v>112.88888888888889</v>
      </c>
      <c r="N39" s="45"/>
      <c r="O39" s="45"/>
      <c r="P39" s="62"/>
      <c r="Q39" s="62"/>
    </row>
    <row r="40" spans="1:30" s="49" customFormat="1" ht="14" thickBot="1">
      <c r="A40" s="34">
        <v>49</v>
      </c>
      <c r="B40" s="35">
        <v>43082</v>
      </c>
      <c r="C40" s="36">
        <v>43082</v>
      </c>
      <c r="D40" s="46">
        <v>53</v>
      </c>
      <c r="E40" s="42" t="s">
        <v>32</v>
      </c>
      <c r="F40" s="39" t="s">
        <v>67</v>
      </c>
      <c r="G40" s="42" t="s">
        <v>24</v>
      </c>
      <c r="H40" s="42" t="s">
        <v>61</v>
      </c>
      <c r="I40" s="50" t="s">
        <v>68</v>
      </c>
      <c r="J40" s="42"/>
      <c r="K40" s="48">
        <v>1030</v>
      </c>
      <c r="L40" s="48">
        <v>34</v>
      </c>
      <c r="M40" s="79">
        <f>IF(ISBLANK(K40),,((K40-L40*2)+1000)/9)</f>
        <v>218</v>
      </c>
      <c r="O40" s="45"/>
      <c r="P40" s="45"/>
      <c r="Q40" s="45"/>
    </row>
    <row r="41" spans="1:30" s="49" customFormat="1" ht="53" thickBot="1">
      <c r="A41" s="34">
        <v>47</v>
      </c>
      <c r="B41" s="35">
        <v>43073</v>
      </c>
      <c r="C41" s="36">
        <v>43082</v>
      </c>
      <c r="D41" s="46">
        <v>235</v>
      </c>
      <c r="E41" s="42" t="s">
        <v>32</v>
      </c>
      <c r="F41" s="39" t="s">
        <v>119</v>
      </c>
      <c r="G41" s="42" t="s">
        <v>27</v>
      </c>
      <c r="H41" s="42" t="s">
        <v>120</v>
      </c>
      <c r="I41" s="50" t="s">
        <v>121</v>
      </c>
      <c r="J41" s="42" t="s">
        <v>122</v>
      </c>
      <c r="K41" s="48">
        <v>257</v>
      </c>
      <c r="L41" s="48">
        <v>35</v>
      </c>
      <c r="M41" s="79">
        <f>IF(ISBLANK(K41),,((K41-L41*2)+1000)/9)</f>
        <v>131.88888888888889</v>
      </c>
      <c r="O41" s="63"/>
      <c r="P41" s="63"/>
      <c r="Q41" s="63"/>
      <c r="R41" s="45"/>
      <c r="S41" s="45"/>
      <c r="T41" s="45"/>
      <c r="U41" s="45"/>
      <c r="V41" s="45"/>
      <c r="W41" s="45"/>
      <c r="X41" s="45"/>
      <c r="Y41" s="45"/>
      <c r="Z41" s="45"/>
      <c r="AA41" s="45"/>
      <c r="AB41" s="45"/>
      <c r="AC41" s="45"/>
      <c r="AD41" s="45"/>
    </row>
    <row r="42" spans="1:30" s="49" customFormat="1" ht="16" thickBot="1">
      <c r="A42" s="34">
        <v>45</v>
      </c>
      <c r="B42" s="35">
        <v>43072</v>
      </c>
      <c r="C42" s="36">
        <v>43072</v>
      </c>
      <c r="D42" s="46">
        <v>31</v>
      </c>
      <c r="E42" s="42" t="s">
        <v>14</v>
      </c>
      <c r="F42" s="60" t="s">
        <v>44</v>
      </c>
      <c r="G42" s="42" t="s">
        <v>45</v>
      </c>
      <c r="H42" s="42" t="s">
        <v>46</v>
      </c>
      <c r="I42" s="50"/>
      <c r="J42" s="42"/>
      <c r="K42" s="84">
        <v>454</v>
      </c>
      <c r="L42" s="84">
        <v>114</v>
      </c>
      <c r="M42" s="79">
        <f>IF(ISBLANK(K42),,((K42-L42*2)+1000)/9)</f>
        <v>136.22222222222223</v>
      </c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</row>
    <row r="43" spans="1:30" s="49" customFormat="1" ht="31" thickBot="1">
      <c r="A43" s="34">
        <v>42</v>
      </c>
      <c r="B43" s="35">
        <v>43063</v>
      </c>
      <c r="C43" s="36">
        <v>43063</v>
      </c>
      <c r="D43" s="46">
        <v>200</v>
      </c>
      <c r="E43" s="42" t="s">
        <v>14</v>
      </c>
      <c r="F43" s="39" t="s">
        <v>106</v>
      </c>
      <c r="G43" s="42" t="s">
        <v>97</v>
      </c>
      <c r="H43" s="42" t="s">
        <v>107</v>
      </c>
      <c r="I43" s="50" t="s">
        <v>108</v>
      </c>
      <c r="J43" s="42" t="s">
        <v>109</v>
      </c>
      <c r="K43" s="48">
        <v>486</v>
      </c>
      <c r="L43" s="48">
        <v>24</v>
      </c>
      <c r="M43" s="79">
        <f>IF(ISBLANK(K43),,((K43-L43*2)+1000)/9)</f>
        <v>159.77777777777777</v>
      </c>
      <c r="R43" s="63"/>
      <c r="S43" s="63"/>
      <c r="T43" s="63"/>
      <c r="U43" s="63"/>
      <c r="V43" s="63"/>
      <c r="W43" s="63"/>
      <c r="X43" s="63"/>
      <c r="Y43" s="63"/>
      <c r="Z43" s="63"/>
      <c r="AA43" s="63"/>
      <c r="AB43" s="63"/>
      <c r="AC43" s="63"/>
      <c r="AD43" s="63"/>
    </row>
    <row r="44" spans="1:30" s="49" customFormat="1" ht="91" thickBot="1">
      <c r="A44" s="34">
        <v>43</v>
      </c>
      <c r="B44" s="35">
        <v>43063</v>
      </c>
      <c r="C44" s="36">
        <v>43063</v>
      </c>
      <c r="D44" s="46">
        <v>463</v>
      </c>
      <c r="E44" s="42" t="s">
        <v>32</v>
      </c>
      <c r="F44" s="39" t="s">
        <v>151</v>
      </c>
      <c r="G44" s="42" t="s">
        <v>97</v>
      </c>
      <c r="H44" s="42" t="s">
        <v>107</v>
      </c>
      <c r="I44" s="50" t="s">
        <v>152</v>
      </c>
      <c r="J44" s="42" t="s">
        <v>153</v>
      </c>
      <c r="K44" s="48">
        <v>264</v>
      </c>
      <c r="L44" s="48">
        <v>27</v>
      </c>
      <c r="M44" s="79">
        <f>IF(ISBLANK(K44),,((K44-L44*2)+1000)/9)</f>
        <v>134.44444444444446</v>
      </c>
      <c r="R44" s="45"/>
      <c r="S44" s="45"/>
      <c r="T44" s="45"/>
      <c r="U44" s="45"/>
      <c r="V44" s="45"/>
      <c r="W44" s="45"/>
      <c r="X44" s="45"/>
      <c r="Y44" s="45"/>
      <c r="Z44" s="45"/>
      <c r="AA44" s="45"/>
      <c r="AB44" s="45"/>
      <c r="AC44" s="45"/>
      <c r="AD44" s="45"/>
    </row>
    <row r="45" spans="1:30" s="49" customFormat="1" ht="66" thickBot="1">
      <c r="A45" s="34">
        <v>38</v>
      </c>
      <c r="B45" s="35">
        <v>43062</v>
      </c>
      <c r="C45" s="36">
        <v>43062</v>
      </c>
      <c r="D45" s="46">
        <v>398</v>
      </c>
      <c r="E45" s="42" t="s">
        <v>14</v>
      </c>
      <c r="F45" s="57" t="s">
        <v>167</v>
      </c>
      <c r="G45" s="42" t="s">
        <v>97</v>
      </c>
      <c r="H45" s="42" t="s">
        <v>144</v>
      </c>
      <c r="I45" s="50" t="s">
        <v>201</v>
      </c>
      <c r="J45" s="42" t="s">
        <v>145</v>
      </c>
      <c r="K45" s="48">
        <v>56</v>
      </c>
      <c r="L45" s="48">
        <v>166</v>
      </c>
      <c r="M45" s="79">
        <f>IF(ISBLANK(K45),,((K45-L45*2)+1000)/9)</f>
        <v>80.444444444444443</v>
      </c>
    </row>
    <row r="46" spans="1:30" s="49" customFormat="1" ht="46" thickBot="1">
      <c r="A46" s="34">
        <v>41</v>
      </c>
      <c r="B46" s="35">
        <v>43062</v>
      </c>
      <c r="C46" s="36">
        <v>43062</v>
      </c>
      <c r="D46" s="46">
        <v>17</v>
      </c>
      <c r="E46" s="42" t="s">
        <v>14</v>
      </c>
      <c r="F46" s="60" t="s">
        <v>28</v>
      </c>
      <c r="G46" s="42" t="s">
        <v>21</v>
      </c>
      <c r="H46" s="42" t="s">
        <v>29</v>
      </c>
      <c r="I46" s="50" t="s">
        <v>30</v>
      </c>
      <c r="J46" s="42" t="s">
        <v>31</v>
      </c>
      <c r="K46" s="48">
        <v>480</v>
      </c>
      <c r="L46" s="48">
        <v>59</v>
      </c>
      <c r="M46" s="79">
        <f>IF(ISBLANK(K46),,((K46-L46*2)+1000)/9)</f>
        <v>151.33333333333334</v>
      </c>
    </row>
    <row r="47" spans="1:30" s="49" customFormat="1" ht="76" thickBot="1">
      <c r="A47" s="34">
        <v>39</v>
      </c>
      <c r="B47" s="35">
        <v>43062</v>
      </c>
      <c r="C47" s="36">
        <v>43062</v>
      </c>
      <c r="D47" s="46">
        <v>20</v>
      </c>
      <c r="E47" s="42" t="s">
        <v>32</v>
      </c>
      <c r="F47" s="39" t="s">
        <v>34</v>
      </c>
      <c r="G47" s="42" t="s">
        <v>35</v>
      </c>
      <c r="H47" s="42" t="s">
        <v>36</v>
      </c>
      <c r="I47" s="50" t="s">
        <v>37</v>
      </c>
      <c r="J47" s="42" t="s">
        <v>38</v>
      </c>
      <c r="K47" s="48">
        <v>627</v>
      </c>
      <c r="L47" s="48">
        <v>39</v>
      </c>
      <c r="M47" s="79">
        <f>IF(ISBLANK(K47),,((K47-L47*2)+1000)/9)</f>
        <v>172.11111111111111</v>
      </c>
    </row>
    <row r="48" spans="1:30" s="49" customFormat="1" ht="53" thickBot="1">
      <c r="A48" s="34">
        <v>36</v>
      </c>
      <c r="B48" s="35">
        <v>43062</v>
      </c>
      <c r="C48" s="36">
        <v>43062</v>
      </c>
      <c r="D48" s="46">
        <v>58</v>
      </c>
      <c r="E48" s="42" t="s">
        <v>32</v>
      </c>
      <c r="F48" s="39" t="s">
        <v>54</v>
      </c>
      <c r="G48" s="42" t="s">
        <v>35</v>
      </c>
      <c r="H48" s="42" t="s">
        <v>36</v>
      </c>
      <c r="I48" s="50" t="s">
        <v>55</v>
      </c>
      <c r="J48" s="42" t="s">
        <v>56</v>
      </c>
      <c r="K48" s="48">
        <v>75</v>
      </c>
      <c r="L48" s="48">
        <v>341</v>
      </c>
      <c r="M48" s="79">
        <f>IF(ISBLANK(K48),,((K48-L48*2)+1000)/9)</f>
        <v>43.666666666666664</v>
      </c>
      <c r="R48" s="45"/>
      <c r="S48" s="45"/>
      <c r="T48" s="45"/>
      <c r="U48" s="45"/>
      <c r="V48" s="45"/>
      <c r="W48" s="45"/>
      <c r="X48" s="45"/>
      <c r="Y48" s="45"/>
      <c r="Z48" s="45"/>
      <c r="AA48" s="45"/>
      <c r="AB48" s="45"/>
      <c r="AC48" s="45"/>
      <c r="AD48" s="45"/>
    </row>
    <row r="49" spans="1:30" s="66" customFormat="1" ht="31" thickBot="1">
      <c r="A49" s="34">
        <v>37</v>
      </c>
      <c r="B49" s="35">
        <v>43062</v>
      </c>
      <c r="C49" s="36">
        <v>43062</v>
      </c>
      <c r="D49" s="46">
        <v>383</v>
      </c>
      <c r="E49" s="42" t="s">
        <v>32</v>
      </c>
      <c r="F49" s="39" t="s">
        <v>141</v>
      </c>
      <c r="G49" s="42" t="s">
        <v>35</v>
      </c>
      <c r="H49" s="42" t="s">
        <v>36</v>
      </c>
      <c r="I49" s="50" t="s">
        <v>142</v>
      </c>
      <c r="J49" s="42" t="s">
        <v>143</v>
      </c>
      <c r="K49" s="48">
        <v>96</v>
      </c>
      <c r="L49" s="48">
        <v>27</v>
      </c>
      <c r="M49" s="79">
        <f>IF(ISBLANK(K49),,((K49-L49*2)+1000)/9)</f>
        <v>115.77777777777777</v>
      </c>
      <c r="N49" s="49"/>
      <c r="O49" s="49"/>
      <c r="P49" s="49"/>
      <c r="Q49" s="49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s="45" customFormat="1" ht="40" thickBot="1">
      <c r="A50" s="34">
        <v>40</v>
      </c>
      <c r="B50" s="35">
        <v>43062</v>
      </c>
      <c r="C50" s="36">
        <v>43062</v>
      </c>
      <c r="D50" s="46">
        <v>66</v>
      </c>
      <c r="E50" s="42" t="s">
        <v>32</v>
      </c>
      <c r="F50" s="39" t="s">
        <v>69</v>
      </c>
      <c r="G50" s="42" t="s">
        <v>35</v>
      </c>
      <c r="H50" s="42" t="s">
        <v>70</v>
      </c>
      <c r="I50" s="50" t="s">
        <v>71</v>
      </c>
      <c r="J50" s="42" t="s">
        <v>72</v>
      </c>
      <c r="K50" s="48">
        <v>164</v>
      </c>
      <c r="L50" s="48">
        <v>348</v>
      </c>
      <c r="M50" s="79">
        <f>IF(ISBLANK(K50),,((K50-L50*2)+1000)/9)</f>
        <v>52</v>
      </c>
      <c r="O50" s="49"/>
      <c r="P50" s="49"/>
      <c r="Q50" s="49"/>
    </row>
    <row r="51" spans="1:30" s="45" customFormat="1" ht="27" thickBot="1">
      <c r="A51" s="34">
        <v>34</v>
      </c>
      <c r="B51" s="35">
        <v>43052</v>
      </c>
      <c r="C51" s="36">
        <v>43052</v>
      </c>
      <c r="D51" s="46">
        <v>62</v>
      </c>
      <c r="E51" s="42" t="s">
        <v>14</v>
      </c>
      <c r="F51" s="39" t="s">
        <v>60</v>
      </c>
      <c r="G51" s="42" t="s">
        <v>24</v>
      </c>
      <c r="H51" s="42" t="s">
        <v>61</v>
      </c>
      <c r="I51" s="50" t="s">
        <v>62</v>
      </c>
      <c r="J51" s="42" t="s">
        <v>63</v>
      </c>
      <c r="K51" s="48">
        <v>290</v>
      </c>
      <c r="L51" s="48">
        <v>17</v>
      </c>
      <c r="M51" s="79">
        <f>IF(ISBLANK(K51),,((K51-L51*2)+1000)/9)</f>
        <v>139.55555555555554</v>
      </c>
      <c r="N51" s="49"/>
      <c r="O51" s="49"/>
      <c r="P51" s="49"/>
      <c r="Q51" s="49"/>
    </row>
    <row r="52" spans="1:30" s="49" customFormat="1" ht="27" thickBot="1">
      <c r="A52" s="34">
        <v>35</v>
      </c>
      <c r="B52" s="35">
        <v>43052</v>
      </c>
      <c r="C52" s="36">
        <v>43052</v>
      </c>
      <c r="D52" s="46">
        <v>63</v>
      </c>
      <c r="E52" s="42" t="s">
        <v>14</v>
      </c>
      <c r="F52" s="39" t="s">
        <v>64</v>
      </c>
      <c r="G52" s="42" t="s">
        <v>24</v>
      </c>
      <c r="H52" s="42" t="s">
        <v>61</v>
      </c>
      <c r="I52" s="50" t="s">
        <v>65</v>
      </c>
      <c r="J52" s="42" t="s">
        <v>66</v>
      </c>
      <c r="K52" s="48">
        <v>134</v>
      </c>
      <c r="L52" s="48">
        <v>12</v>
      </c>
      <c r="M52" s="79">
        <f>IF(ISBLANK(K52),,((K52-L52*2)+1000)/9)</f>
        <v>123.33333333333333</v>
      </c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</row>
    <row r="53" spans="1:30" s="49" customFormat="1" ht="53" thickBot="1">
      <c r="A53" s="34">
        <v>28</v>
      </c>
      <c r="B53" s="35">
        <v>43051</v>
      </c>
      <c r="C53" s="36">
        <v>43051</v>
      </c>
      <c r="D53" s="46">
        <v>26</v>
      </c>
      <c r="E53" s="42" t="s">
        <v>32</v>
      </c>
      <c r="F53" s="39" t="s">
        <v>39</v>
      </c>
      <c r="G53" s="42" t="s">
        <v>12</v>
      </c>
      <c r="H53" s="42" t="s">
        <v>13</v>
      </c>
      <c r="I53" s="50" t="s">
        <v>199</v>
      </c>
      <c r="J53" s="42" t="s">
        <v>40</v>
      </c>
      <c r="K53" s="48">
        <v>261</v>
      </c>
      <c r="L53" s="48">
        <v>912</v>
      </c>
      <c r="M53" s="79">
        <f>IF(ISBLANK(K53),,((K53-L53*2)+1000)/9)</f>
        <v>-62.555555555555557</v>
      </c>
      <c r="N53" s="45"/>
    </row>
    <row r="54" spans="1:30" s="45" customFormat="1" ht="14" thickBot="1">
      <c r="A54" s="34">
        <v>31</v>
      </c>
      <c r="B54" s="35">
        <v>43051</v>
      </c>
      <c r="C54" s="36">
        <v>43051</v>
      </c>
      <c r="D54" s="46">
        <v>88</v>
      </c>
      <c r="E54" s="42" t="s">
        <v>32</v>
      </c>
      <c r="F54" s="39" t="s">
        <v>80</v>
      </c>
      <c r="G54" s="42" t="s">
        <v>12</v>
      </c>
      <c r="H54" s="42" t="s">
        <v>13</v>
      </c>
      <c r="I54" s="50" t="s">
        <v>81</v>
      </c>
      <c r="J54" s="42" t="s">
        <v>82</v>
      </c>
      <c r="K54" s="48">
        <v>196</v>
      </c>
      <c r="L54" s="48">
        <v>793</v>
      </c>
      <c r="M54" s="79">
        <f>IF(ISBLANK(K54),,((K54-L54*2)+1000)/9)</f>
        <v>-43.333333333333336</v>
      </c>
      <c r="N54" s="49"/>
      <c r="O54" s="49"/>
      <c r="P54" s="49"/>
      <c r="Q54" s="49"/>
      <c r="R54" s="66"/>
      <c r="S54" s="66"/>
      <c r="T54" s="66"/>
      <c r="U54" s="66"/>
      <c r="V54" s="66"/>
      <c r="W54" s="66"/>
      <c r="X54" s="66"/>
      <c r="Y54" s="66"/>
      <c r="Z54" s="66"/>
      <c r="AA54" s="66"/>
      <c r="AB54" s="66"/>
      <c r="AC54" s="66"/>
      <c r="AD54" s="66"/>
    </row>
    <row r="55" spans="1:30" s="45" customFormat="1" ht="53" thickBot="1">
      <c r="A55" s="34">
        <v>33</v>
      </c>
      <c r="B55" s="35">
        <v>43051</v>
      </c>
      <c r="C55" s="36">
        <v>43051</v>
      </c>
      <c r="D55" s="46">
        <v>2</v>
      </c>
      <c r="E55" s="42" t="s">
        <v>181</v>
      </c>
      <c r="F55" s="39" t="s">
        <v>15</v>
      </c>
      <c r="G55" s="42" t="s">
        <v>17</v>
      </c>
      <c r="H55" s="42" t="s">
        <v>19</v>
      </c>
      <c r="I55" s="50" t="s">
        <v>20</v>
      </c>
      <c r="J55" s="50" t="s">
        <v>267</v>
      </c>
      <c r="K55" s="48">
        <v>1077</v>
      </c>
      <c r="L55" s="48">
        <v>386</v>
      </c>
      <c r="M55" s="79">
        <f>IF(ISBLANK(K55),,((K55-L55*2)+1000)/9)</f>
        <v>145</v>
      </c>
      <c r="N55" s="49"/>
      <c r="O55" s="49"/>
      <c r="P55" s="49"/>
      <c r="Q55" s="49"/>
      <c r="R55" s="49"/>
      <c r="S55" s="49"/>
      <c r="T55" s="49"/>
      <c r="U55" s="49"/>
      <c r="V55" s="49"/>
      <c r="W55" s="49"/>
      <c r="X55" s="49"/>
      <c r="Y55" s="49"/>
      <c r="Z55" s="49"/>
      <c r="AA55" s="49"/>
      <c r="AB55" s="49"/>
      <c r="AC55" s="49"/>
      <c r="AD55" s="49"/>
    </row>
    <row r="56" spans="1:30" s="45" customFormat="1" ht="14" thickBot="1">
      <c r="A56" s="34">
        <v>29</v>
      </c>
      <c r="B56" s="35">
        <v>43051</v>
      </c>
      <c r="C56" s="36">
        <v>43051</v>
      </c>
      <c r="D56" s="46">
        <v>28</v>
      </c>
      <c r="E56" s="42" t="s">
        <v>32</v>
      </c>
      <c r="F56" s="39" t="s">
        <v>41</v>
      </c>
      <c r="G56" s="42" t="s">
        <v>35</v>
      </c>
      <c r="H56" s="42" t="s">
        <v>36</v>
      </c>
      <c r="I56" s="50" t="s">
        <v>42</v>
      </c>
      <c r="J56" s="42" t="s">
        <v>43</v>
      </c>
      <c r="K56" s="48">
        <v>193</v>
      </c>
      <c r="L56" s="48">
        <v>370</v>
      </c>
      <c r="M56" s="79">
        <f>IF(ISBLANK(K56),,((K56-L56*2)+1000)/9)</f>
        <v>50.333333333333336</v>
      </c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</row>
    <row r="57" spans="1:30" s="45" customFormat="1" ht="53" thickBot="1">
      <c r="A57" s="34">
        <v>30</v>
      </c>
      <c r="B57" s="35">
        <v>43051</v>
      </c>
      <c r="C57" s="36">
        <v>43051</v>
      </c>
      <c r="D57" s="46">
        <v>38</v>
      </c>
      <c r="E57" s="42" t="s">
        <v>32</v>
      </c>
      <c r="F57" s="39" t="s">
        <v>47</v>
      </c>
      <c r="G57" s="42" t="s">
        <v>35</v>
      </c>
      <c r="H57" s="42" t="s">
        <v>36</v>
      </c>
      <c r="I57" s="50" t="s">
        <v>48</v>
      </c>
      <c r="J57" s="42" t="s">
        <v>49</v>
      </c>
      <c r="K57" s="48">
        <v>160</v>
      </c>
      <c r="L57" s="48">
        <v>1169</v>
      </c>
      <c r="M57" s="79">
        <f>IF(ISBLANK(K57),,((K57-L57*2)+1000)/9)</f>
        <v>-130.88888888888889</v>
      </c>
      <c r="N57" s="49"/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</row>
    <row r="58" spans="1:30" s="45" customFormat="1" ht="14" thickBot="1">
      <c r="A58" s="34">
        <v>32</v>
      </c>
      <c r="B58" s="35">
        <v>43051</v>
      </c>
      <c r="C58" s="36">
        <v>43051</v>
      </c>
      <c r="D58" s="46">
        <v>104</v>
      </c>
      <c r="E58" s="42" t="s">
        <v>32</v>
      </c>
      <c r="F58" s="39" t="s">
        <v>83</v>
      </c>
      <c r="G58" s="42" t="s">
        <v>27</v>
      </c>
      <c r="H58" s="42" t="s">
        <v>84</v>
      </c>
      <c r="I58" s="50" t="s">
        <v>200</v>
      </c>
      <c r="J58" s="42" t="s">
        <v>85</v>
      </c>
      <c r="K58" s="48">
        <v>258</v>
      </c>
      <c r="L58" s="48">
        <v>14</v>
      </c>
      <c r="M58" s="79">
        <f>IF(ISBLANK(K58),,((K58-L58*2)+1000)/9)</f>
        <v>136.66666666666666</v>
      </c>
      <c r="N58" s="49"/>
      <c r="O58" s="49"/>
      <c r="P58" s="49"/>
      <c r="Q58" s="49"/>
    </row>
    <row r="59" spans="1:30" s="45" customFormat="1" ht="27" thickBot="1">
      <c r="A59" s="34">
        <v>26</v>
      </c>
      <c r="B59" s="35">
        <v>43045</v>
      </c>
      <c r="C59" s="36">
        <v>43045</v>
      </c>
      <c r="D59" s="46">
        <v>137</v>
      </c>
      <c r="E59" s="42" t="s">
        <v>14</v>
      </c>
      <c r="F59" s="39" t="s">
        <v>90</v>
      </c>
      <c r="G59" s="42" t="s">
        <v>25</v>
      </c>
      <c r="H59" s="42" t="s">
        <v>26</v>
      </c>
      <c r="I59" s="50" t="s">
        <v>91</v>
      </c>
      <c r="J59" s="42" t="s">
        <v>92</v>
      </c>
      <c r="K59" s="84">
        <v>250</v>
      </c>
      <c r="L59" s="84">
        <v>99</v>
      </c>
      <c r="M59" s="79">
        <f>IF(ISBLANK(K59),,((K59-L59*2)+1000)/9)</f>
        <v>116.88888888888889</v>
      </c>
      <c r="N59" s="49"/>
      <c r="O59" s="66"/>
      <c r="P59" s="66"/>
      <c r="Q59" s="66"/>
      <c r="R59" s="49"/>
      <c r="S59" s="49"/>
      <c r="T59" s="49"/>
      <c r="U59" s="49"/>
      <c r="V59" s="49"/>
      <c r="W59" s="49"/>
      <c r="X59" s="49"/>
      <c r="Y59" s="49"/>
      <c r="Z59" s="49"/>
      <c r="AA59" s="49"/>
      <c r="AB59" s="49"/>
      <c r="AC59" s="49"/>
      <c r="AD59" s="49"/>
    </row>
    <row r="60" spans="1:30" s="45" customFormat="1" ht="14" thickBot="1">
      <c r="A60" s="34">
        <v>27</v>
      </c>
      <c r="B60" s="35">
        <v>43045</v>
      </c>
      <c r="C60" s="36">
        <v>43045</v>
      </c>
      <c r="D60" s="46">
        <v>260</v>
      </c>
      <c r="E60" s="42" t="s">
        <v>14</v>
      </c>
      <c r="F60" s="39" t="s">
        <v>123</v>
      </c>
      <c r="G60" s="42" t="s">
        <v>25</v>
      </c>
      <c r="H60" s="42" t="s">
        <v>26</v>
      </c>
      <c r="I60" s="50" t="s">
        <v>124</v>
      </c>
      <c r="J60" s="42" t="s">
        <v>125</v>
      </c>
      <c r="K60" s="84">
        <v>271</v>
      </c>
      <c r="L60" s="84">
        <v>35</v>
      </c>
      <c r="M60" s="79">
        <f>IF(ISBLANK(K60),,((K60-L60*2)+1000)/9)</f>
        <v>133.44444444444446</v>
      </c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</row>
    <row r="61" spans="1:30" s="45" customFormat="1" ht="14" thickBot="1">
      <c r="A61" s="34">
        <v>24</v>
      </c>
      <c r="B61" s="35">
        <v>43044</v>
      </c>
      <c r="C61" s="36">
        <v>43044</v>
      </c>
      <c r="D61" s="46">
        <v>136</v>
      </c>
      <c r="E61" s="42" t="s">
        <v>32</v>
      </c>
      <c r="F61" s="39" t="s">
        <v>87</v>
      </c>
      <c r="G61" s="42" t="s">
        <v>25</v>
      </c>
      <c r="H61" s="42" t="s">
        <v>26</v>
      </c>
      <c r="I61" s="50" t="s">
        <v>88</v>
      </c>
      <c r="J61" s="42" t="s">
        <v>89</v>
      </c>
      <c r="K61" s="84">
        <v>709</v>
      </c>
      <c r="L61" s="84">
        <v>19</v>
      </c>
      <c r="M61" s="79">
        <f>IF(ISBLANK(K61),,((K61-L61*2)+1000)/9)</f>
        <v>185.66666666666666</v>
      </c>
      <c r="N61" s="66"/>
      <c r="O61" s="49"/>
      <c r="P61" s="49"/>
      <c r="Q61" s="49"/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</row>
    <row r="62" spans="1:30" s="45" customFormat="1" ht="14" thickBot="1">
      <c r="A62" s="34">
        <v>18</v>
      </c>
      <c r="B62" s="35">
        <v>43044</v>
      </c>
      <c r="C62" s="36">
        <v>43044</v>
      </c>
      <c r="D62" s="46">
        <v>190</v>
      </c>
      <c r="E62" s="42" t="s">
        <v>32</v>
      </c>
      <c r="F62" s="39" t="s">
        <v>100</v>
      </c>
      <c r="G62" s="42" t="s">
        <v>25</v>
      </c>
      <c r="H62" s="42" t="s">
        <v>26</v>
      </c>
      <c r="I62" s="50" t="s">
        <v>101</v>
      </c>
      <c r="J62" s="42" t="s">
        <v>102</v>
      </c>
      <c r="K62" s="84">
        <v>172</v>
      </c>
      <c r="L62" s="84">
        <v>33</v>
      </c>
      <c r="M62" s="79">
        <f>IF(ISBLANK(K62),,((K62-L62*2)+1000)/9)</f>
        <v>122.88888888888889</v>
      </c>
      <c r="N62" s="49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</row>
    <row r="63" spans="1:30" s="45" customFormat="1" ht="14" thickBot="1">
      <c r="A63" s="34">
        <v>17</v>
      </c>
      <c r="B63" s="35">
        <v>43044</v>
      </c>
      <c r="C63" s="36">
        <v>43044</v>
      </c>
      <c r="D63" s="46">
        <v>191</v>
      </c>
      <c r="E63" s="42" t="s">
        <v>32</v>
      </c>
      <c r="F63" s="39" t="s">
        <v>103</v>
      </c>
      <c r="G63" s="42" t="s">
        <v>25</v>
      </c>
      <c r="H63" s="42" t="s">
        <v>26</v>
      </c>
      <c r="I63" s="50" t="s">
        <v>104</v>
      </c>
      <c r="J63" s="42" t="s">
        <v>105</v>
      </c>
      <c r="K63" s="84">
        <v>131</v>
      </c>
      <c r="L63" s="84">
        <v>120</v>
      </c>
      <c r="M63" s="79">
        <f>IF(ISBLANK(K63),,((K63-L63*2)+1000)/9)</f>
        <v>99</v>
      </c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</row>
    <row r="64" spans="1:30" s="45" customFormat="1" ht="14" thickBot="1">
      <c r="A64" s="34">
        <v>22</v>
      </c>
      <c r="B64" s="35">
        <v>43044</v>
      </c>
      <c r="C64" s="36">
        <v>43044</v>
      </c>
      <c r="D64" s="46">
        <v>231</v>
      </c>
      <c r="E64" s="42" t="s">
        <v>32</v>
      </c>
      <c r="F64" s="39" t="s">
        <v>115</v>
      </c>
      <c r="G64" s="42" t="s">
        <v>25</v>
      </c>
      <c r="H64" s="42" t="s">
        <v>26</v>
      </c>
      <c r="I64" s="50" t="s">
        <v>116</v>
      </c>
      <c r="J64" s="42" t="s">
        <v>117</v>
      </c>
      <c r="K64" s="84">
        <v>122</v>
      </c>
      <c r="L64" s="84">
        <v>44</v>
      </c>
      <c r="M64" s="79">
        <f>IF(ISBLANK(K64),,((K64-L64*2)+1000)/9)</f>
        <v>114.88888888888889</v>
      </c>
      <c r="N64" s="49"/>
      <c r="O64" s="49"/>
      <c r="P64" s="49"/>
      <c r="Q64" s="49"/>
    </row>
    <row r="65" spans="1:30" s="45" customFormat="1" ht="14" thickBot="1">
      <c r="A65" s="34">
        <v>19</v>
      </c>
      <c r="B65" s="35">
        <v>43044</v>
      </c>
      <c r="C65" s="36">
        <v>43044</v>
      </c>
      <c r="D65" s="46">
        <v>268</v>
      </c>
      <c r="E65" s="42" t="s">
        <v>32</v>
      </c>
      <c r="F65" s="39" t="s">
        <v>126</v>
      </c>
      <c r="G65" s="42" t="s">
        <v>25</v>
      </c>
      <c r="H65" s="42" t="s">
        <v>26</v>
      </c>
      <c r="I65" s="50" t="s">
        <v>127</v>
      </c>
      <c r="J65" s="42" t="s">
        <v>128</v>
      </c>
      <c r="K65" s="84">
        <v>251</v>
      </c>
      <c r="L65" s="84">
        <v>553</v>
      </c>
      <c r="M65" s="79">
        <f>IF(ISBLANK(K65),,((K65-L65*2)+1000)/9)</f>
        <v>16.111111111111111</v>
      </c>
      <c r="N65" s="49"/>
      <c r="O65" s="49"/>
      <c r="P65" s="49"/>
      <c r="Q65" s="49"/>
      <c r="R65" s="49"/>
      <c r="S65" s="49"/>
      <c r="T65" s="49"/>
      <c r="U65" s="49"/>
      <c r="V65" s="49"/>
      <c r="W65" s="49"/>
      <c r="X65" s="49"/>
      <c r="Y65" s="49"/>
      <c r="Z65" s="49"/>
      <c r="AA65" s="49"/>
      <c r="AB65" s="49"/>
      <c r="AC65" s="49"/>
      <c r="AD65" s="49"/>
    </row>
    <row r="66" spans="1:30" s="45" customFormat="1" ht="27" thickBot="1">
      <c r="A66" s="34">
        <v>23</v>
      </c>
      <c r="B66" s="35">
        <v>43044</v>
      </c>
      <c r="C66" s="36">
        <v>43044</v>
      </c>
      <c r="D66" s="46">
        <v>338</v>
      </c>
      <c r="E66" s="42" t="s">
        <v>14</v>
      </c>
      <c r="F66" s="39" t="s">
        <v>129</v>
      </c>
      <c r="G66" s="42" t="s">
        <v>25</v>
      </c>
      <c r="H66" s="42" t="s">
        <v>26</v>
      </c>
      <c r="I66" s="50" t="s">
        <v>130</v>
      </c>
      <c r="J66" s="42" t="s">
        <v>131</v>
      </c>
      <c r="K66" s="84">
        <v>398</v>
      </c>
      <c r="L66" s="84">
        <v>35</v>
      </c>
      <c r="M66" s="79">
        <f>IF(ISBLANK(K66),,((K66-L66*2)+1000)/9)</f>
        <v>147.55555555555554</v>
      </c>
      <c r="N66" s="49"/>
      <c r="O66" s="49"/>
      <c r="P66" s="49"/>
      <c r="Q66" s="49"/>
    </row>
    <row r="67" spans="1:30" s="45" customFormat="1" ht="14" thickBot="1">
      <c r="A67" s="34">
        <v>20</v>
      </c>
      <c r="B67" s="35">
        <v>43044</v>
      </c>
      <c r="C67" s="36">
        <v>43044</v>
      </c>
      <c r="D67" s="46">
        <v>342</v>
      </c>
      <c r="E67" s="42" t="s">
        <v>32</v>
      </c>
      <c r="F67" s="39" t="s">
        <v>132</v>
      </c>
      <c r="G67" s="42" t="s">
        <v>25</v>
      </c>
      <c r="H67" s="42" t="s">
        <v>26</v>
      </c>
      <c r="I67" s="50" t="s">
        <v>133</v>
      </c>
      <c r="J67" s="42" t="s">
        <v>134</v>
      </c>
      <c r="K67" s="84">
        <v>131</v>
      </c>
      <c r="L67" s="84">
        <v>59</v>
      </c>
      <c r="M67" s="79">
        <f>IF(ISBLANK(K67),,((K67-L67*2)+1000)/9)</f>
        <v>112.55555555555556</v>
      </c>
      <c r="N67" s="49"/>
      <c r="O67" s="49"/>
      <c r="P67" s="49"/>
      <c r="Q67" s="49"/>
      <c r="R67" s="49"/>
      <c r="S67" s="49"/>
      <c r="T67" s="49"/>
      <c r="U67" s="49"/>
      <c r="V67" s="49"/>
      <c r="W67" s="49"/>
      <c r="X67" s="49"/>
      <c r="Y67" s="49"/>
      <c r="Z67" s="49"/>
      <c r="AA67" s="49"/>
      <c r="AB67" s="49"/>
      <c r="AC67" s="49"/>
      <c r="AD67" s="49"/>
    </row>
    <row r="68" spans="1:30" s="45" customFormat="1" ht="66" thickBot="1">
      <c r="A68" s="34">
        <v>21</v>
      </c>
      <c r="B68" s="35">
        <v>43044</v>
      </c>
      <c r="C68" s="36">
        <v>43044</v>
      </c>
      <c r="D68" s="46">
        <v>371</v>
      </c>
      <c r="E68" s="42" t="s">
        <v>32</v>
      </c>
      <c r="F68" s="39" t="s">
        <v>138</v>
      </c>
      <c r="G68" s="42" t="s">
        <v>25</v>
      </c>
      <c r="H68" s="42" t="s">
        <v>26</v>
      </c>
      <c r="I68" s="50" t="s">
        <v>139</v>
      </c>
      <c r="J68" s="42" t="s">
        <v>140</v>
      </c>
      <c r="K68" s="84">
        <v>294</v>
      </c>
      <c r="L68" s="84">
        <v>357</v>
      </c>
      <c r="M68" s="79">
        <f>IF(ISBLANK(K68),,((K68-L68*2)+1000)/9)</f>
        <v>64.444444444444443</v>
      </c>
      <c r="N68" s="49"/>
      <c r="O68" s="49"/>
      <c r="P68" s="49"/>
      <c r="Q68" s="49"/>
    </row>
    <row r="69" spans="1:30" s="45" customFormat="1" ht="27" thickBot="1">
      <c r="A69" s="34">
        <v>25</v>
      </c>
      <c r="B69" s="35">
        <v>43044</v>
      </c>
      <c r="C69" s="36">
        <v>43044</v>
      </c>
      <c r="D69" s="46">
        <v>461</v>
      </c>
      <c r="E69" s="42" t="s">
        <v>32</v>
      </c>
      <c r="F69" s="39" t="s">
        <v>148</v>
      </c>
      <c r="G69" s="42" t="s">
        <v>25</v>
      </c>
      <c r="H69" s="42" t="s">
        <v>26</v>
      </c>
      <c r="I69" s="50" t="s">
        <v>149</v>
      </c>
      <c r="J69" s="42" t="s">
        <v>150</v>
      </c>
      <c r="K69" s="84">
        <v>585</v>
      </c>
      <c r="L69" s="84">
        <v>48</v>
      </c>
      <c r="M69" s="79">
        <f>IF(ISBLANK(K69),,((K69-L69*2)+1000)/9)</f>
        <v>165.44444444444446</v>
      </c>
      <c r="O69" s="49"/>
      <c r="P69" s="49"/>
      <c r="Q69" s="49"/>
    </row>
    <row r="70" spans="1:30" s="45" customFormat="1" ht="53" thickBot="1">
      <c r="A70" s="34">
        <v>13</v>
      </c>
      <c r="B70" s="35">
        <v>43042</v>
      </c>
      <c r="C70" s="36">
        <v>43042</v>
      </c>
      <c r="D70" s="46">
        <v>669</v>
      </c>
      <c r="E70" s="42" t="s">
        <v>32</v>
      </c>
      <c r="F70" s="39" t="s">
        <v>157</v>
      </c>
      <c r="G70" s="42" t="s">
        <v>27</v>
      </c>
      <c r="H70" s="58" t="s">
        <v>159</v>
      </c>
      <c r="I70" s="50" t="s">
        <v>158</v>
      </c>
      <c r="J70" s="42" t="s">
        <v>273</v>
      </c>
      <c r="K70" s="84">
        <v>323</v>
      </c>
      <c r="L70" s="84">
        <v>59</v>
      </c>
      <c r="M70" s="79">
        <f>IF(ISBLANK(K70),,((K70-L70*2)+1000)/9)</f>
        <v>133.88888888888889</v>
      </c>
      <c r="N70" s="49"/>
      <c r="O70" s="49"/>
      <c r="P70" s="49"/>
      <c r="Q70" s="49"/>
      <c r="R70" s="49"/>
      <c r="S70" s="49"/>
      <c r="T70" s="49"/>
      <c r="U70" s="49"/>
      <c r="V70" s="49"/>
      <c r="W70" s="49"/>
      <c r="X70" s="49"/>
      <c r="Y70" s="49"/>
      <c r="Z70" s="49"/>
      <c r="AA70" s="49"/>
      <c r="AB70" s="49"/>
      <c r="AC70" s="49"/>
      <c r="AD70" s="49"/>
    </row>
    <row r="71" spans="1:30" s="45" customFormat="1" ht="40" thickBot="1">
      <c r="A71" s="34">
        <v>12</v>
      </c>
      <c r="B71" s="35">
        <v>43039</v>
      </c>
      <c r="C71" s="36">
        <v>43039</v>
      </c>
      <c r="D71" s="46">
        <v>657</v>
      </c>
      <c r="E71" s="42" t="s">
        <v>32</v>
      </c>
      <c r="F71" s="39" t="s">
        <v>154</v>
      </c>
      <c r="G71" s="42" t="s">
        <v>33</v>
      </c>
      <c r="H71" s="58" t="s">
        <v>166</v>
      </c>
      <c r="I71" s="50" t="s">
        <v>155</v>
      </c>
      <c r="J71" s="42" t="s">
        <v>156</v>
      </c>
      <c r="K71" s="84">
        <v>330</v>
      </c>
      <c r="L71" s="84">
        <v>283</v>
      </c>
      <c r="M71" s="79">
        <f>IF(ISBLANK(K71),,((K71-L71*2)+1000)/9)</f>
        <v>84.888888888888886</v>
      </c>
      <c r="N71" s="49"/>
      <c r="O71" s="49"/>
      <c r="P71" s="49"/>
      <c r="Q71" s="49"/>
    </row>
    <row r="72" spans="1:30" s="45" customFormat="1" ht="27" thickBot="1">
      <c r="A72" s="34">
        <v>11</v>
      </c>
      <c r="B72" s="35">
        <v>43038</v>
      </c>
      <c r="C72" s="36">
        <v>43038</v>
      </c>
      <c r="D72" s="46">
        <v>77</v>
      </c>
      <c r="E72" s="42" t="s">
        <v>14</v>
      </c>
      <c r="F72" s="60" t="s">
        <v>18</v>
      </c>
      <c r="G72" s="42" t="s">
        <v>21</v>
      </c>
      <c r="H72" s="58" t="s">
        <v>163</v>
      </c>
      <c r="I72" s="50" t="s">
        <v>76</v>
      </c>
      <c r="J72" s="42" t="s">
        <v>77</v>
      </c>
      <c r="K72" s="84">
        <v>254</v>
      </c>
      <c r="L72" s="84">
        <v>18</v>
      </c>
      <c r="M72" s="79">
        <f>IF(ISBLANK(K72),,((K72-L72*2)+1000)/9)</f>
        <v>135.33333333333334</v>
      </c>
      <c r="N72" s="49"/>
      <c r="O72" s="49"/>
      <c r="P72" s="49"/>
      <c r="Q72" s="49"/>
      <c r="R72" s="49"/>
      <c r="S72" s="49"/>
      <c r="T72" s="49"/>
      <c r="U72" s="49"/>
      <c r="V72" s="49"/>
      <c r="W72" s="49"/>
      <c r="X72" s="49"/>
      <c r="Y72" s="49"/>
      <c r="Z72" s="49"/>
      <c r="AA72" s="49"/>
      <c r="AB72" s="49"/>
      <c r="AC72" s="49"/>
      <c r="AD72" s="49"/>
    </row>
    <row r="73" spans="1:30" s="45" customFormat="1" ht="40" thickBot="1">
      <c r="A73" s="34">
        <v>7</v>
      </c>
      <c r="B73" s="35">
        <v>43037</v>
      </c>
      <c r="C73" s="36">
        <v>43037</v>
      </c>
      <c r="D73" s="46">
        <v>78</v>
      </c>
      <c r="E73" s="42" t="s">
        <v>14</v>
      </c>
      <c r="F73" s="60" t="s">
        <v>78</v>
      </c>
      <c r="G73" s="42" t="s">
        <v>21</v>
      </c>
      <c r="H73" s="42" t="s">
        <v>161</v>
      </c>
      <c r="I73" s="50" t="s">
        <v>50</v>
      </c>
      <c r="J73" s="42" t="s">
        <v>79</v>
      </c>
      <c r="K73" s="84">
        <v>521</v>
      </c>
      <c r="L73" s="84">
        <v>17</v>
      </c>
      <c r="M73" s="79">
        <f>IF(ISBLANK(K73),,((K73-L73*2)+1000)/9)</f>
        <v>165.22222222222223</v>
      </c>
      <c r="N73" s="49"/>
      <c r="O73" s="49"/>
      <c r="P73" s="49"/>
      <c r="Q73" s="49"/>
    </row>
    <row r="74" spans="1:30" s="45" customFormat="1" ht="66" thickBot="1">
      <c r="A74" s="34">
        <v>8</v>
      </c>
      <c r="B74" s="35">
        <v>43037</v>
      </c>
      <c r="C74" s="36">
        <v>43037</v>
      </c>
      <c r="D74" s="46">
        <v>90</v>
      </c>
      <c r="E74" s="42" t="s">
        <v>14</v>
      </c>
      <c r="F74" s="60" t="s">
        <v>23</v>
      </c>
      <c r="G74" s="42" t="s">
        <v>21</v>
      </c>
      <c r="H74" s="58" t="s">
        <v>161</v>
      </c>
      <c r="I74" s="50" t="s">
        <v>51</v>
      </c>
      <c r="J74" s="42"/>
      <c r="K74" s="84">
        <v>257</v>
      </c>
      <c r="L74" s="84">
        <v>11</v>
      </c>
      <c r="M74" s="79">
        <f>IF(ISBLANK(K74),,((K74-L74*2)+1000)/9)</f>
        <v>137.22222222222223</v>
      </c>
      <c r="N74" s="49"/>
      <c r="O74" s="49"/>
      <c r="P74" s="49"/>
      <c r="Q74" s="49"/>
      <c r="R74" s="49"/>
      <c r="S74" s="49"/>
      <c r="T74" s="49"/>
      <c r="U74" s="49"/>
      <c r="V74" s="49"/>
      <c r="W74" s="49"/>
      <c r="X74" s="49"/>
      <c r="Y74" s="49"/>
      <c r="Z74" s="49"/>
      <c r="AA74" s="49"/>
      <c r="AB74" s="49"/>
      <c r="AC74" s="49"/>
      <c r="AD74" s="49"/>
    </row>
    <row r="75" spans="1:30" s="45" customFormat="1" ht="46" thickBot="1">
      <c r="A75" s="34">
        <v>4</v>
      </c>
      <c r="B75" s="35">
        <v>43036</v>
      </c>
      <c r="C75" s="36">
        <v>43036</v>
      </c>
      <c r="D75" s="46">
        <v>162</v>
      </c>
      <c r="E75" s="42" t="s">
        <v>14</v>
      </c>
      <c r="F75" s="39" t="s">
        <v>93</v>
      </c>
      <c r="G75" s="42" t="s">
        <v>12</v>
      </c>
      <c r="H75" s="42" t="s">
        <v>13</v>
      </c>
      <c r="I75" s="50" t="s">
        <v>94</v>
      </c>
      <c r="J75" s="42" t="s">
        <v>95</v>
      </c>
      <c r="K75" s="84">
        <v>202</v>
      </c>
      <c r="L75" s="84">
        <v>447</v>
      </c>
      <c r="M75" s="79">
        <f>IF(ISBLANK(K75),,((K75-L75*2)+1000)/9)</f>
        <v>34.222222222222221</v>
      </c>
    </row>
    <row r="76" spans="1:30" s="45" customFormat="1" ht="66" thickBot="1">
      <c r="A76" s="34">
        <v>6</v>
      </c>
      <c r="B76" s="35">
        <v>43036</v>
      </c>
      <c r="C76" s="36">
        <v>43036</v>
      </c>
      <c r="D76" s="46">
        <v>54</v>
      </c>
      <c r="E76" s="42" t="s">
        <v>14</v>
      </c>
      <c r="F76" s="39" t="s">
        <v>52</v>
      </c>
      <c r="G76" s="58" t="s">
        <v>162</v>
      </c>
      <c r="H76" s="42" t="s">
        <v>16</v>
      </c>
      <c r="I76" s="50" t="s">
        <v>53</v>
      </c>
      <c r="J76" s="42"/>
      <c r="K76" s="84">
        <v>255</v>
      </c>
      <c r="L76" s="84">
        <v>128</v>
      </c>
      <c r="M76" s="79">
        <f>IF(ISBLANK(K76),,((K76-L76*2)+1000)/9)</f>
        <v>111</v>
      </c>
      <c r="N76" s="49"/>
      <c r="O76" s="49"/>
      <c r="P76" s="49"/>
      <c r="Q76" s="49"/>
    </row>
    <row r="77" spans="1:30" s="45" customFormat="1" ht="53" thickBot="1">
      <c r="A77" s="34">
        <v>5</v>
      </c>
      <c r="B77" s="35">
        <v>43036</v>
      </c>
      <c r="C77" s="36">
        <v>43036</v>
      </c>
      <c r="D77" s="46">
        <v>59</v>
      </c>
      <c r="E77" s="42" t="s">
        <v>14</v>
      </c>
      <c r="F77" s="39" t="s">
        <v>57</v>
      </c>
      <c r="G77" s="58" t="s">
        <v>162</v>
      </c>
      <c r="H77" s="42" t="s">
        <v>16</v>
      </c>
      <c r="I77" s="50" t="s">
        <v>58</v>
      </c>
      <c r="J77" s="42" t="s">
        <v>59</v>
      </c>
      <c r="K77" s="84">
        <v>120</v>
      </c>
      <c r="L77" s="84">
        <v>29</v>
      </c>
      <c r="M77" s="79">
        <f>IF(ISBLANK(K77),,((K77-L77*2)+1000)/9)</f>
        <v>118</v>
      </c>
      <c r="N77" s="49"/>
      <c r="O77" s="49"/>
      <c r="P77" s="49"/>
      <c r="Q77" s="49"/>
    </row>
    <row r="78" spans="1:30" s="45" customFormat="1" ht="118" thickBot="1">
      <c r="A78" s="34">
        <v>3</v>
      </c>
      <c r="B78" s="35">
        <v>43036</v>
      </c>
      <c r="C78" s="36">
        <v>43036</v>
      </c>
      <c r="D78" s="46">
        <v>120</v>
      </c>
      <c r="E78" s="42" t="s">
        <v>14</v>
      </c>
      <c r="F78" s="39" t="s">
        <v>11</v>
      </c>
      <c r="G78" s="42" t="s">
        <v>24</v>
      </c>
      <c r="H78" s="42" t="s">
        <v>61</v>
      </c>
      <c r="I78" s="50" t="s">
        <v>188</v>
      </c>
      <c r="J78" s="42" t="s">
        <v>86</v>
      </c>
      <c r="K78" s="48">
        <v>271</v>
      </c>
      <c r="L78" s="48">
        <v>2</v>
      </c>
      <c r="M78" s="80">
        <f>IF(ISBLANK(K78),,((K78-L78*2)+1000)/9)</f>
        <v>140.77777777777777</v>
      </c>
      <c r="N78" s="49"/>
    </row>
    <row r="79" spans="1:30" s="45" customFormat="1" ht="14" thickBot="1">
      <c r="A79" s="34">
        <v>66</v>
      </c>
      <c r="B79" s="35">
        <v>43087</v>
      </c>
      <c r="C79" s="53"/>
      <c r="D79" s="37">
        <v>287</v>
      </c>
      <c r="E79" s="38" t="s">
        <v>240</v>
      </c>
      <c r="F79" s="54" t="s">
        <v>224</v>
      </c>
      <c r="G79" s="38" t="s">
        <v>232</v>
      </c>
      <c r="H79" s="38" t="s">
        <v>233</v>
      </c>
      <c r="I79" s="76" t="s">
        <v>274</v>
      </c>
      <c r="J79" s="56"/>
      <c r="K79" s="85">
        <v>660</v>
      </c>
      <c r="L79" s="85">
        <v>53</v>
      </c>
      <c r="M79" s="80">
        <f>IF(ISBLANK(K79),,((K79-L79*2)+1000)/9)</f>
        <v>172.66666666666666</v>
      </c>
    </row>
    <row r="80" spans="1:30" s="45" customFormat="1" ht="27" thickBot="1">
      <c r="A80" s="34">
        <v>59</v>
      </c>
      <c r="B80" s="35">
        <v>43084</v>
      </c>
      <c r="C80" s="36"/>
      <c r="D80" s="46">
        <v>322</v>
      </c>
      <c r="E80" s="42" t="s">
        <v>14</v>
      </c>
      <c r="F80" s="39" t="s">
        <v>185</v>
      </c>
      <c r="G80" s="42" t="s">
        <v>24</v>
      </c>
      <c r="H80" s="42" t="s">
        <v>184</v>
      </c>
      <c r="I80" s="50" t="s">
        <v>186</v>
      </c>
      <c r="J80" s="42"/>
      <c r="K80" s="48">
        <v>280</v>
      </c>
      <c r="L80" s="48">
        <v>20</v>
      </c>
      <c r="M80" s="80">
        <f>IF(ISBLANK(K80),,((K80-L80*2)+1000)/9)</f>
        <v>137.77777777777777</v>
      </c>
      <c r="N80" s="49"/>
      <c r="R80" s="49"/>
      <c r="S80" s="49"/>
      <c r="T80" s="49"/>
      <c r="U80" s="49"/>
      <c r="V80" s="49"/>
      <c r="W80" s="49"/>
      <c r="X80" s="49"/>
      <c r="Y80" s="49"/>
      <c r="Z80" s="49"/>
      <c r="AA80" s="49"/>
      <c r="AB80" s="49"/>
      <c r="AC80" s="49"/>
      <c r="AD80" s="49"/>
    </row>
    <row r="81" spans="1:30" s="45" customFormat="1" ht="66" thickBot="1">
      <c r="A81" s="34">
        <v>60</v>
      </c>
      <c r="B81" s="35">
        <v>43084</v>
      </c>
      <c r="C81" s="36"/>
      <c r="D81" s="46">
        <v>70</v>
      </c>
      <c r="E81" s="42" t="s">
        <v>32</v>
      </c>
      <c r="F81" s="39" t="s">
        <v>183</v>
      </c>
      <c r="G81" s="42" t="s">
        <v>24</v>
      </c>
      <c r="H81" s="42" t="s">
        <v>61</v>
      </c>
      <c r="I81" s="50" t="s">
        <v>187</v>
      </c>
      <c r="J81" s="42"/>
      <c r="K81" s="48">
        <v>486</v>
      </c>
      <c r="L81" s="48">
        <v>22</v>
      </c>
      <c r="M81" s="80">
        <f>IF(ISBLANK(K81),,((K81-L81*2)+1000)/9)</f>
        <v>160.22222222222223</v>
      </c>
      <c r="N81" s="49"/>
    </row>
    <row r="82" spans="1:30" s="45" customFormat="1" ht="79" thickBot="1">
      <c r="A82" s="34">
        <v>61</v>
      </c>
      <c r="B82" s="35">
        <v>43087</v>
      </c>
      <c r="C82" s="53"/>
      <c r="D82" s="37">
        <v>198</v>
      </c>
      <c r="E82" s="38" t="s">
        <v>219</v>
      </c>
      <c r="F82" s="39" t="s">
        <v>216</v>
      </c>
      <c r="G82" s="42" t="s">
        <v>24</v>
      </c>
      <c r="H82" s="40" t="s">
        <v>218</v>
      </c>
      <c r="I82" s="41" t="s">
        <v>221</v>
      </c>
      <c r="J82" s="42"/>
      <c r="K82" s="85">
        <v>625</v>
      </c>
      <c r="L82" s="85">
        <v>18</v>
      </c>
      <c r="M82" s="80">
        <f>IF(ISBLANK(K82),,((K82-L82*2)+1000)/9)</f>
        <v>176.55555555555554</v>
      </c>
      <c r="O82" s="63"/>
      <c r="P82" s="63"/>
      <c r="Q82" s="63"/>
    </row>
    <row r="83" spans="1:30" s="49" customFormat="1" ht="40" thickBot="1">
      <c r="A83" s="34">
        <v>62</v>
      </c>
      <c r="B83" s="35">
        <v>43087</v>
      </c>
      <c r="C83" s="53"/>
      <c r="D83" s="37">
        <v>213</v>
      </c>
      <c r="E83" s="42" t="s">
        <v>14</v>
      </c>
      <c r="F83" s="39" t="s">
        <v>217</v>
      </c>
      <c r="G83" s="42" t="s">
        <v>24</v>
      </c>
      <c r="H83" s="40" t="s">
        <v>218</v>
      </c>
      <c r="I83" s="50" t="s">
        <v>220</v>
      </c>
      <c r="J83" s="42"/>
      <c r="K83" s="85">
        <v>171</v>
      </c>
      <c r="L83" s="85">
        <v>5</v>
      </c>
      <c r="M83" s="80">
        <f>IF(ISBLANK(K83),,((K83-L83*2)+1000)/9)</f>
        <v>129</v>
      </c>
      <c r="N83" s="45"/>
      <c r="O83" s="45"/>
      <c r="P83" s="45"/>
      <c r="Q83" s="45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49" customFormat="1" ht="53" thickBot="1">
      <c r="A84" s="34">
        <v>67</v>
      </c>
      <c r="B84" s="35">
        <v>43087</v>
      </c>
      <c r="C84" s="53"/>
      <c r="D84" s="37">
        <v>75</v>
      </c>
      <c r="E84" s="61" t="s">
        <v>14</v>
      </c>
      <c r="F84" s="54" t="s">
        <v>225</v>
      </c>
      <c r="G84" s="38" t="s">
        <v>229</v>
      </c>
      <c r="H84" s="38" t="s">
        <v>230</v>
      </c>
      <c r="I84" s="55"/>
      <c r="J84" s="56"/>
      <c r="K84" s="85">
        <v>358</v>
      </c>
      <c r="L84" s="85">
        <v>50</v>
      </c>
      <c r="M84" s="80">
        <f>IF(ISBLANK(K84),,((K84-L84*2)+1000)/9)</f>
        <v>139.77777777777777</v>
      </c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45" customFormat="1" ht="40" thickBot="1">
      <c r="A85" s="34">
        <v>72</v>
      </c>
      <c r="B85" s="35">
        <v>43087</v>
      </c>
      <c r="C85" s="53"/>
      <c r="D85" s="37">
        <v>415</v>
      </c>
      <c r="E85" s="61" t="s">
        <v>32</v>
      </c>
      <c r="F85" s="39" t="s">
        <v>251</v>
      </c>
      <c r="G85" s="61" t="s">
        <v>33</v>
      </c>
      <c r="H85" s="40" t="s">
        <v>70</v>
      </c>
      <c r="I85" s="50" t="s">
        <v>252</v>
      </c>
      <c r="J85" s="42"/>
      <c r="K85" s="85">
        <v>108</v>
      </c>
      <c r="L85" s="85">
        <v>33</v>
      </c>
      <c r="M85" s="80">
        <f>IF(ISBLANK(K85),,((K85-L85*2)+1000)/9)</f>
        <v>115.77777777777777</v>
      </c>
    </row>
    <row r="86" spans="1:30" s="45" customFormat="1" ht="14" thickBot="1">
      <c r="A86" s="34">
        <v>83</v>
      </c>
      <c r="B86" s="61"/>
      <c r="C86" s="53"/>
      <c r="D86" s="37"/>
      <c r="E86" s="61"/>
      <c r="F86" s="39"/>
      <c r="G86" s="61"/>
      <c r="H86" s="74"/>
      <c r="I86" s="50"/>
      <c r="J86" s="42"/>
      <c r="K86" s="43"/>
      <c r="L86" s="43"/>
      <c r="M86" s="44"/>
    </row>
    <row r="87" spans="1:30" s="45" customFormat="1" ht="14" thickBot="1">
      <c r="A87" s="34">
        <v>84</v>
      </c>
      <c r="B87" s="61"/>
      <c r="C87" s="53"/>
      <c r="D87" s="37"/>
      <c r="E87" s="61"/>
      <c r="F87" s="39"/>
      <c r="G87" s="61"/>
      <c r="H87" s="74"/>
      <c r="I87" s="50"/>
      <c r="J87" s="42"/>
      <c r="K87" s="43"/>
      <c r="L87" s="43"/>
      <c r="M87" s="44"/>
    </row>
    <row r="88" spans="1:30" s="45" customFormat="1" ht="14" thickBot="1">
      <c r="A88" s="34">
        <v>85</v>
      </c>
      <c r="B88" s="61"/>
      <c r="C88" s="53"/>
      <c r="D88" s="37"/>
      <c r="E88" s="61"/>
      <c r="F88" s="39"/>
      <c r="G88" s="61"/>
      <c r="H88" s="74"/>
      <c r="I88" s="50"/>
      <c r="J88" s="42"/>
      <c r="K88" s="43"/>
      <c r="L88" s="43"/>
      <c r="M88" s="44"/>
    </row>
    <row r="89" spans="1:30" s="45" customFormat="1" ht="14" thickBot="1">
      <c r="A89" s="34">
        <v>86</v>
      </c>
      <c r="B89" s="61"/>
      <c r="C89" s="53"/>
      <c r="D89" s="37"/>
      <c r="E89" s="61"/>
      <c r="F89" s="39"/>
      <c r="G89" s="61"/>
      <c r="H89" s="74"/>
      <c r="I89" s="50"/>
      <c r="J89" s="42"/>
      <c r="K89" s="43"/>
      <c r="L89" s="43"/>
      <c r="M89" s="44"/>
    </row>
    <row r="90" spans="1:30" s="45" customFormat="1" ht="14" thickBot="1">
      <c r="A90" s="34">
        <v>87</v>
      </c>
      <c r="B90" s="61"/>
      <c r="C90" s="53"/>
      <c r="D90" s="37"/>
      <c r="E90" s="61"/>
      <c r="F90" s="39"/>
      <c r="G90" s="61"/>
      <c r="H90" s="74"/>
      <c r="I90" s="50"/>
      <c r="J90" s="42"/>
      <c r="K90" s="43"/>
      <c r="L90" s="43"/>
      <c r="M90" s="44"/>
    </row>
    <row r="91" spans="1:30" s="45" customFormat="1" ht="14" thickBot="1">
      <c r="A91" s="34">
        <v>88</v>
      </c>
      <c r="B91" s="61"/>
      <c r="C91" s="53"/>
      <c r="D91" s="37"/>
      <c r="E91" s="61"/>
      <c r="F91" s="39"/>
      <c r="G91" s="61"/>
      <c r="H91" s="74"/>
      <c r="I91" s="50"/>
      <c r="J91" s="42"/>
      <c r="K91" s="43"/>
      <c r="L91" s="43"/>
      <c r="M91" s="44"/>
    </row>
    <row r="92" spans="1:30" s="45" customFormat="1" ht="14" thickBot="1">
      <c r="A92" s="34">
        <v>89</v>
      </c>
      <c r="B92" s="61"/>
      <c r="C92" s="53"/>
      <c r="D92" s="37"/>
      <c r="E92" s="61"/>
      <c r="F92" s="39"/>
      <c r="G92" s="61"/>
      <c r="H92" s="74"/>
      <c r="I92" s="50"/>
      <c r="J92" s="42"/>
      <c r="K92" s="43"/>
      <c r="L92" s="43"/>
      <c r="M92" s="44"/>
    </row>
    <row r="93" spans="1:30" s="45" customFormat="1" ht="14" thickBot="1">
      <c r="A93" s="34">
        <v>90</v>
      </c>
      <c r="B93" s="61"/>
      <c r="C93" s="75"/>
      <c r="D93" s="37"/>
      <c r="E93" s="61"/>
      <c r="F93" s="39"/>
      <c r="G93" s="61"/>
      <c r="H93" s="74"/>
      <c r="I93" s="50"/>
      <c r="J93" s="42"/>
      <c r="K93" s="43"/>
      <c r="L93" s="43"/>
      <c r="M93" s="44"/>
    </row>
    <row r="94" spans="1:30" s="45" customFormat="1" ht="14" thickBot="1">
      <c r="A94" s="34">
        <v>91</v>
      </c>
      <c r="B94" s="61"/>
      <c r="C94" s="53"/>
      <c r="D94" s="37"/>
      <c r="E94" s="61"/>
      <c r="F94" s="39"/>
      <c r="G94" s="61"/>
      <c r="H94" s="74"/>
      <c r="I94" s="50"/>
      <c r="J94" s="42"/>
      <c r="K94" s="43"/>
      <c r="L94" s="43"/>
      <c r="M94" s="44"/>
    </row>
    <row r="95" spans="1:30" s="45" customFormat="1" ht="14" thickBot="1">
      <c r="A95" s="34">
        <v>92</v>
      </c>
      <c r="B95" s="61"/>
      <c r="C95" s="53"/>
      <c r="D95" s="37"/>
      <c r="E95" s="61"/>
      <c r="F95" s="39"/>
      <c r="G95" s="61"/>
      <c r="H95" s="74"/>
      <c r="I95" s="50"/>
      <c r="J95" s="42"/>
      <c r="K95" s="43"/>
      <c r="L95" s="43"/>
      <c r="M95" s="44"/>
    </row>
    <row r="96" spans="1:30" s="45" customFormat="1" ht="14" thickBot="1">
      <c r="A96" s="34">
        <v>93</v>
      </c>
      <c r="B96" s="61"/>
      <c r="C96" s="53"/>
      <c r="D96" s="37"/>
      <c r="E96" s="61"/>
      <c r="F96" s="39"/>
      <c r="G96" s="61"/>
      <c r="H96" s="74"/>
      <c r="I96" s="50"/>
      <c r="J96" s="42"/>
      <c r="K96" s="43"/>
      <c r="L96" s="43"/>
      <c r="M96" s="44"/>
    </row>
    <row r="97" spans="1:13" s="45" customFormat="1" ht="14" thickBot="1">
      <c r="A97" s="34">
        <v>94</v>
      </c>
      <c r="B97" s="61"/>
      <c r="C97" s="53"/>
      <c r="D97" s="37"/>
      <c r="E97" s="61"/>
      <c r="F97" s="39"/>
      <c r="G97" s="61"/>
      <c r="H97" s="74"/>
      <c r="I97" s="50"/>
      <c r="J97" s="42"/>
      <c r="K97" s="43"/>
      <c r="L97" s="43"/>
      <c r="M97" s="44"/>
    </row>
    <row r="98" spans="1:13" s="45" customFormat="1" ht="14" thickBot="1">
      <c r="A98" s="34">
        <v>95</v>
      </c>
      <c r="B98" s="61"/>
      <c r="C98" s="53"/>
      <c r="D98" s="37"/>
      <c r="E98" s="61"/>
      <c r="F98" s="39"/>
      <c r="G98" s="61"/>
      <c r="H98" s="74"/>
      <c r="I98" s="50"/>
      <c r="J98" s="42"/>
      <c r="K98" s="43"/>
      <c r="L98" s="43"/>
      <c r="M98" s="44"/>
    </row>
    <row r="99" spans="1:13" s="45" customFormat="1" ht="14" thickBot="1">
      <c r="A99" s="34">
        <v>96</v>
      </c>
      <c r="B99" s="61"/>
      <c r="C99" s="53"/>
      <c r="D99" s="37"/>
      <c r="E99" s="61"/>
      <c r="F99" s="39"/>
      <c r="G99" s="61"/>
      <c r="H99" s="74"/>
      <c r="I99" s="50"/>
      <c r="J99" s="42"/>
      <c r="K99" s="43"/>
      <c r="L99" s="43"/>
      <c r="M99" s="44"/>
    </row>
    <row r="100" spans="1:13" s="45" customFormat="1" ht="14" thickBot="1">
      <c r="A100" s="34">
        <v>97</v>
      </c>
      <c r="B100" s="61"/>
      <c r="C100" s="53"/>
      <c r="D100" s="37"/>
      <c r="E100" s="61"/>
      <c r="F100" s="39"/>
      <c r="G100" s="61"/>
      <c r="H100" s="74"/>
      <c r="I100" s="50"/>
      <c r="J100" s="42"/>
      <c r="K100" s="43"/>
      <c r="L100" s="43"/>
      <c r="M100" s="44"/>
    </row>
    <row r="101" spans="1:13" s="45" customFormat="1" ht="14" thickBot="1">
      <c r="A101" s="34">
        <v>98</v>
      </c>
      <c r="B101" s="61"/>
      <c r="C101" s="53"/>
      <c r="D101" s="37"/>
      <c r="E101" s="61"/>
      <c r="F101" s="39"/>
      <c r="G101" s="61"/>
      <c r="H101" s="74"/>
      <c r="I101" s="50"/>
      <c r="J101" s="42"/>
      <c r="K101" s="43"/>
      <c r="L101" s="43"/>
      <c r="M101" s="44"/>
    </row>
    <row r="102" spans="1:13" s="45" customFormat="1" ht="14" thickBot="1">
      <c r="A102" s="34">
        <v>99</v>
      </c>
      <c r="B102" s="61"/>
      <c r="C102" s="53"/>
      <c r="D102" s="37"/>
      <c r="E102" s="61"/>
      <c r="F102" s="39"/>
      <c r="G102" s="61"/>
      <c r="H102" s="74"/>
      <c r="I102" s="50"/>
      <c r="J102" s="42"/>
      <c r="K102" s="43"/>
      <c r="L102" s="43"/>
      <c r="M102" s="44"/>
    </row>
    <row r="103" spans="1:13" s="45" customFormat="1" ht="14" thickBot="1">
      <c r="A103" s="34">
        <v>100</v>
      </c>
      <c r="B103" s="61"/>
      <c r="C103" s="53"/>
      <c r="D103" s="37"/>
      <c r="E103" s="61"/>
      <c r="F103" s="39"/>
      <c r="G103" s="61"/>
      <c r="H103" s="74"/>
      <c r="I103" s="50"/>
      <c r="J103" s="42"/>
      <c r="K103" s="43"/>
      <c r="L103" s="43"/>
      <c r="M103" s="44"/>
    </row>
    <row r="104" spans="1:13" s="45" customFormat="1" ht="14" thickBot="1">
      <c r="A104" s="34">
        <v>101</v>
      </c>
      <c r="B104" s="61"/>
      <c r="C104" s="53"/>
      <c r="D104" s="37"/>
      <c r="E104" s="61"/>
      <c r="F104" s="39"/>
      <c r="G104" s="61"/>
      <c r="H104" s="74"/>
      <c r="I104" s="50"/>
      <c r="J104" s="42"/>
      <c r="K104" s="43"/>
      <c r="L104" s="43"/>
      <c r="M104" s="44"/>
    </row>
    <row r="105" spans="1:13" s="45" customFormat="1" ht="14" thickBot="1">
      <c r="A105" s="34">
        <v>102</v>
      </c>
      <c r="B105" s="61"/>
      <c r="C105" s="53"/>
      <c r="D105" s="37"/>
      <c r="E105" s="61"/>
      <c r="F105" s="39"/>
      <c r="G105" s="61"/>
      <c r="H105" s="74"/>
      <c r="I105" s="50"/>
      <c r="J105" s="42"/>
      <c r="K105" s="43"/>
      <c r="L105" s="43"/>
      <c r="M105" s="44"/>
    </row>
    <row r="106" spans="1:13" s="45" customFormat="1" ht="14" thickBot="1">
      <c r="A106" s="34">
        <v>103</v>
      </c>
      <c r="B106" s="61"/>
      <c r="C106" s="53"/>
      <c r="D106" s="37"/>
      <c r="E106" s="61"/>
      <c r="F106" s="39"/>
      <c r="G106" s="61"/>
      <c r="H106" s="74"/>
      <c r="I106" s="50"/>
      <c r="J106" s="42"/>
      <c r="K106" s="43"/>
      <c r="L106" s="43"/>
      <c r="M106" s="44"/>
    </row>
    <row r="107" spans="1:13" s="45" customFormat="1" ht="14" thickBot="1">
      <c r="A107" s="34">
        <v>104</v>
      </c>
      <c r="B107" s="61"/>
      <c r="C107" s="53"/>
      <c r="D107" s="37"/>
      <c r="E107" s="61"/>
      <c r="F107" s="39"/>
      <c r="G107" s="61"/>
      <c r="H107" s="74"/>
      <c r="I107" s="50"/>
      <c r="J107" s="42"/>
      <c r="K107" s="43"/>
      <c r="L107" s="43"/>
      <c r="M107" s="44"/>
    </row>
    <row r="108" spans="1:13" s="45" customFormat="1" ht="14" thickBot="1">
      <c r="A108" s="34">
        <v>105</v>
      </c>
      <c r="B108" s="61"/>
      <c r="C108" s="53"/>
      <c r="D108" s="37"/>
      <c r="E108" s="61"/>
      <c r="F108" s="39"/>
      <c r="G108" s="61"/>
      <c r="H108" s="74"/>
      <c r="I108" s="50"/>
      <c r="J108" s="42"/>
      <c r="K108" s="43"/>
      <c r="L108" s="43"/>
      <c r="M108" s="44"/>
    </row>
    <row r="109" spans="1:13" s="45" customFormat="1" ht="14" thickBot="1">
      <c r="A109" s="34">
        <v>106</v>
      </c>
      <c r="B109" s="61"/>
      <c r="C109" s="53"/>
      <c r="D109" s="37"/>
      <c r="E109" s="61"/>
      <c r="F109" s="39"/>
      <c r="G109" s="61"/>
      <c r="H109" s="74"/>
      <c r="I109" s="50"/>
      <c r="J109" s="42"/>
      <c r="K109" s="43"/>
      <c r="L109" s="43"/>
      <c r="M109" s="44"/>
    </row>
    <row r="110" spans="1:13" s="45" customFormat="1" ht="14" thickBot="1">
      <c r="A110" s="34">
        <v>107</v>
      </c>
      <c r="B110" s="61"/>
      <c r="C110" s="53"/>
      <c r="D110" s="37"/>
      <c r="E110" s="61"/>
      <c r="F110" s="39"/>
      <c r="G110" s="61"/>
      <c r="H110" s="74"/>
      <c r="I110" s="50"/>
      <c r="J110" s="42"/>
      <c r="K110" s="43"/>
      <c r="L110" s="43"/>
      <c r="M110" s="44"/>
    </row>
    <row r="111" spans="1:13" s="45" customFormat="1" ht="14" thickBot="1">
      <c r="A111" s="34">
        <v>108</v>
      </c>
      <c r="B111" s="61"/>
      <c r="C111" s="53"/>
      <c r="D111" s="37"/>
      <c r="E111" s="61"/>
      <c r="F111" s="39"/>
      <c r="G111" s="61"/>
      <c r="H111" s="74"/>
      <c r="I111" s="50"/>
      <c r="J111" s="42"/>
      <c r="K111" s="43"/>
      <c r="L111" s="43"/>
      <c r="M111" s="44"/>
    </row>
    <row r="112" spans="1:13">
      <c r="A112" s="10">
        <v>109</v>
      </c>
      <c r="F112" s="7"/>
      <c r="H112" s="12"/>
      <c r="I112" s="5"/>
      <c r="J112" s="6"/>
      <c r="M112" s="16"/>
    </row>
    <row r="113" spans="1:13">
      <c r="A113" s="10">
        <v>110</v>
      </c>
      <c r="F113" s="7"/>
      <c r="H113" s="12"/>
      <c r="I113" s="5"/>
      <c r="J113" s="6"/>
      <c r="M113" s="16"/>
    </row>
    <row r="114" spans="1:13">
      <c r="A114" s="10">
        <v>111</v>
      </c>
      <c r="F114" s="7"/>
      <c r="H114" s="12"/>
      <c r="I114" s="5"/>
      <c r="J114" s="6"/>
      <c r="M114" s="16"/>
    </row>
    <row r="115" spans="1:13">
      <c r="A115" s="10">
        <v>112</v>
      </c>
      <c r="F115" s="7"/>
      <c r="H115" s="12"/>
      <c r="I115" s="5"/>
      <c r="J115" s="6"/>
      <c r="M115" s="16"/>
    </row>
    <row r="116" spans="1:13">
      <c r="A116" s="10">
        <v>113</v>
      </c>
      <c r="F116" s="7"/>
      <c r="H116" s="12"/>
      <c r="I116" s="5"/>
      <c r="J116" s="6"/>
      <c r="M116" s="16"/>
    </row>
    <row r="117" spans="1:13">
      <c r="A117" s="10">
        <v>114</v>
      </c>
      <c r="F117" s="7"/>
      <c r="H117" s="12"/>
      <c r="I117" s="5"/>
      <c r="J117" s="6"/>
      <c r="M117" s="16"/>
    </row>
    <row r="118" spans="1:13">
      <c r="A118" s="10">
        <v>114</v>
      </c>
      <c r="F118" s="7"/>
      <c r="H118" s="12"/>
      <c r="I118" s="5"/>
      <c r="J118" s="6"/>
      <c r="M118" s="16"/>
    </row>
    <row r="119" spans="1:13">
      <c r="A119" s="10">
        <v>115</v>
      </c>
      <c r="F119" s="7"/>
      <c r="H119" s="12"/>
      <c r="I119" s="5"/>
      <c r="J119" s="6"/>
      <c r="M119" s="16"/>
    </row>
    <row r="120" spans="1:13">
      <c r="A120" s="10">
        <v>116</v>
      </c>
      <c r="F120" s="7"/>
      <c r="H120" s="12"/>
      <c r="I120" s="5"/>
      <c r="J120" s="6"/>
      <c r="M120" s="16"/>
    </row>
    <row r="121" spans="1:13">
      <c r="A121" s="10">
        <v>117</v>
      </c>
      <c r="F121" s="7"/>
      <c r="H121" s="12"/>
      <c r="I121" s="5"/>
      <c r="J121" s="6"/>
      <c r="M121" s="16"/>
    </row>
    <row r="122" spans="1:13">
      <c r="A122" s="10">
        <v>118</v>
      </c>
      <c r="F122" s="7"/>
      <c r="H122" s="12"/>
      <c r="I122" s="5"/>
      <c r="J122" s="6"/>
      <c r="M122" s="16"/>
    </row>
    <row r="123" spans="1:13">
      <c r="A123" s="10">
        <v>119</v>
      </c>
      <c r="F123" s="7"/>
      <c r="H123" s="12"/>
      <c r="I123" s="5"/>
      <c r="J123" s="6"/>
      <c r="M123" s="16"/>
    </row>
    <row r="124" spans="1:13">
      <c r="A124" s="10">
        <v>120</v>
      </c>
      <c r="F124" s="7"/>
      <c r="H124" s="12"/>
      <c r="I124" s="5"/>
      <c r="J124" s="6"/>
      <c r="M124" s="16"/>
    </row>
    <row r="125" spans="1:13">
      <c r="A125" s="10">
        <v>121</v>
      </c>
      <c r="F125" s="7"/>
      <c r="H125" s="12"/>
      <c r="I125" s="5"/>
      <c r="J125" s="6"/>
      <c r="M125" s="16"/>
    </row>
    <row r="126" spans="1:13">
      <c r="A126" s="10">
        <v>122</v>
      </c>
      <c r="F126" s="7"/>
      <c r="H126" s="12"/>
      <c r="I126" s="5"/>
      <c r="J126" s="6"/>
      <c r="M126" s="16"/>
    </row>
    <row r="127" spans="1:13">
      <c r="A127" s="10">
        <v>123</v>
      </c>
      <c r="F127" s="7"/>
      <c r="H127" s="12"/>
      <c r="I127" s="5"/>
      <c r="J127" s="6"/>
      <c r="M127" s="16"/>
    </row>
    <row r="128" spans="1:13">
      <c r="A128" s="10">
        <v>124</v>
      </c>
      <c r="F128" s="7"/>
      <c r="H128" s="12"/>
      <c r="I128" s="5"/>
      <c r="J128" s="6"/>
      <c r="M128" s="16"/>
    </row>
    <row r="129" spans="1:13">
      <c r="A129" s="10">
        <v>125</v>
      </c>
      <c r="F129" s="7"/>
      <c r="H129" s="12"/>
      <c r="I129" s="5"/>
      <c r="J129" s="6"/>
      <c r="M129" s="16"/>
    </row>
    <row r="130" spans="1:13">
      <c r="A130" s="10">
        <v>126</v>
      </c>
      <c r="F130" s="7"/>
      <c r="H130" s="12"/>
      <c r="I130" s="5"/>
      <c r="J130" s="6"/>
      <c r="M130" s="16"/>
    </row>
    <row r="131" spans="1:13">
      <c r="A131" s="10">
        <v>127</v>
      </c>
      <c r="F131" s="7"/>
      <c r="H131" s="12"/>
      <c r="I131" s="5"/>
      <c r="J131" s="6"/>
      <c r="M131" s="16"/>
    </row>
    <row r="132" spans="1:13">
      <c r="A132" s="10">
        <v>128</v>
      </c>
      <c r="F132" s="7"/>
      <c r="H132" s="12"/>
      <c r="I132" s="5"/>
      <c r="J132" s="6"/>
      <c r="M132" s="16"/>
    </row>
    <row r="133" spans="1:13">
      <c r="A133" s="10">
        <v>129</v>
      </c>
      <c r="F133" s="7"/>
      <c r="H133" s="12"/>
      <c r="I133" s="5"/>
      <c r="J133" s="6"/>
      <c r="M133" s="16"/>
    </row>
    <row r="134" spans="1:13">
      <c r="A134" s="10">
        <v>130</v>
      </c>
      <c r="F134" s="7"/>
      <c r="H134" s="12"/>
      <c r="I134" s="5"/>
      <c r="J134" s="6"/>
      <c r="M134" s="16"/>
    </row>
    <row r="135" spans="1:13">
      <c r="A135" s="10">
        <v>131</v>
      </c>
      <c r="F135" s="7"/>
      <c r="H135" s="12"/>
      <c r="I135" s="5"/>
      <c r="J135" s="6"/>
      <c r="M135" s="16"/>
    </row>
    <row r="136" spans="1:13">
      <c r="A136" s="10">
        <v>132</v>
      </c>
      <c r="F136" s="7"/>
      <c r="H136" s="12"/>
      <c r="I136" s="5"/>
      <c r="J136" s="6"/>
      <c r="M136" s="16"/>
    </row>
    <row r="137" spans="1:13">
      <c r="A137" s="10">
        <v>133</v>
      </c>
      <c r="F137" s="7"/>
      <c r="H137" s="12"/>
      <c r="I137" s="5"/>
      <c r="J137" s="6"/>
      <c r="M137" s="16"/>
    </row>
    <row r="138" spans="1:13">
      <c r="A138" s="10">
        <v>134</v>
      </c>
      <c r="F138" s="7"/>
      <c r="H138" s="12"/>
      <c r="I138" s="5"/>
      <c r="J138" s="6"/>
      <c r="M138" s="16"/>
    </row>
    <row r="139" spans="1:13">
      <c r="A139" s="10">
        <v>135</v>
      </c>
      <c r="F139" s="7"/>
      <c r="H139" s="12"/>
      <c r="I139" s="5"/>
      <c r="J139" s="6"/>
      <c r="M139" s="16"/>
    </row>
    <row r="140" spans="1:13">
      <c r="A140" s="10">
        <v>136</v>
      </c>
      <c r="F140" s="7"/>
      <c r="H140" s="12"/>
      <c r="I140" s="5"/>
      <c r="J140" s="6"/>
      <c r="M140" s="16"/>
    </row>
    <row r="141" spans="1:13">
      <c r="A141" s="10">
        <v>137</v>
      </c>
      <c r="F141" s="7"/>
      <c r="H141" s="12"/>
      <c r="I141" s="5"/>
      <c r="J141" s="6"/>
      <c r="M141" s="16"/>
    </row>
    <row r="142" spans="1:13">
      <c r="A142" s="10">
        <v>138</v>
      </c>
      <c r="F142" s="7"/>
      <c r="H142" s="12"/>
      <c r="I142" s="5"/>
      <c r="J142" s="6"/>
      <c r="M142" s="16"/>
    </row>
    <row r="143" spans="1:13">
      <c r="A143" s="10">
        <v>139</v>
      </c>
      <c r="F143" s="7"/>
      <c r="H143" s="12"/>
      <c r="I143" s="5"/>
      <c r="J143" s="6"/>
      <c r="M143" s="16"/>
    </row>
    <row r="144" spans="1:13">
      <c r="A144" s="10">
        <v>140</v>
      </c>
      <c r="F144" s="7"/>
      <c r="H144" s="12"/>
      <c r="I144" s="5"/>
      <c r="J144" s="6"/>
      <c r="M144" s="16"/>
    </row>
    <row r="145" spans="1:13">
      <c r="A145" s="10">
        <v>141</v>
      </c>
      <c r="F145" s="7"/>
      <c r="H145" s="12"/>
      <c r="I145" s="5"/>
      <c r="J145" s="6"/>
      <c r="M145" s="16"/>
    </row>
    <row r="146" spans="1:13">
      <c r="A146" s="10">
        <v>142</v>
      </c>
      <c r="F146" s="7"/>
      <c r="H146" s="12"/>
      <c r="I146" s="5"/>
      <c r="J146" s="6"/>
      <c r="M146" s="16"/>
    </row>
    <row r="147" spans="1:13">
      <c r="A147" s="10">
        <v>143</v>
      </c>
      <c r="F147" s="7"/>
      <c r="H147" s="12"/>
      <c r="I147" s="5"/>
      <c r="J147" s="6"/>
      <c r="M147" s="16"/>
    </row>
    <row r="148" spans="1:13">
      <c r="A148" s="10">
        <v>144</v>
      </c>
      <c r="F148" s="7"/>
      <c r="H148" s="12"/>
      <c r="I148" s="5"/>
      <c r="J148" s="6"/>
      <c r="M148" s="16"/>
    </row>
    <row r="149" spans="1:13">
      <c r="A149" s="10">
        <v>145</v>
      </c>
      <c r="F149" s="7"/>
      <c r="H149" s="12"/>
      <c r="I149" s="5"/>
      <c r="J149" s="6"/>
      <c r="M149" s="16"/>
    </row>
    <row r="150" spans="1:13">
      <c r="A150" s="10">
        <v>146</v>
      </c>
      <c r="F150" s="7"/>
      <c r="H150" s="12"/>
      <c r="I150" s="5"/>
      <c r="J150" s="6"/>
      <c r="M150" s="16"/>
    </row>
    <row r="151" spans="1:13">
      <c r="A151" s="10">
        <v>147</v>
      </c>
      <c r="F151" s="7"/>
      <c r="H151" s="12"/>
      <c r="I151" s="5"/>
      <c r="J151" s="6"/>
      <c r="M151" s="16"/>
    </row>
    <row r="152" spans="1:13">
      <c r="A152" s="10">
        <v>148</v>
      </c>
      <c r="F152" s="7"/>
      <c r="H152" s="12"/>
      <c r="I152" s="5"/>
      <c r="J152" s="6"/>
      <c r="M152" s="16"/>
    </row>
    <row r="153" spans="1:13">
      <c r="A153" s="10">
        <v>149</v>
      </c>
      <c r="F153" s="7"/>
      <c r="H153" s="12"/>
      <c r="I153" s="5"/>
      <c r="J153" s="6"/>
      <c r="M153" s="16"/>
    </row>
    <row r="154" spans="1:13">
      <c r="A154" s="10">
        <v>150</v>
      </c>
      <c r="F154" s="7"/>
      <c r="H154" s="12"/>
      <c r="I154" s="5"/>
      <c r="J154" s="6"/>
      <c r="M154" s="16"/>
    </row>
    <row r="155" spans="1:13">
      <c r="A155" s="10">
        <v>151</v>
      </c>
      <c r="F155" s="7"/>
      <c r="H155" s="12"/>
      <c r="I155" s="5"/>
      <c r="J155" s="6"/>
      <c r="M155" s="16"/>
    </row>
    <row r="156" spans="1:13">
      <c r="A156" s="10">
        <v>152</v>
      </c>
      <c r="F156" s="7"/>
      <c r="H156" s="12"/>
      <c r="I156" s="5"/>
      <c r="J156" s="6"/>
      <c r="M156" s="16"/>
    </row>
    <row r="157" spans="1:13">
      <c r="A157" s="10">
        <v>153</v>
      </c>
      <c r="F157" s="7"/>
      <c r="H157" s="12"/>
      <c r="I157" s="5"/>
      <c r="J157" s="6"/>
      <c r="M157" s="16"/>
    </row>
    <row r="158" spans="1:13">
      <c r="A158" s="10">
        <v>154</v>
      </c>
      <c r="F158" s="7"/>
      <c r="H158" s="12"/>
      <c r="I158" s="5"/>
      <c r="J158" s="6"/>
      <c r="M158" s="16"/>
    </row>
    <row r="159" spans="1:13">
      <c r="A159" s="10">
        <v>155</v>
      </c>
      <c r="F159" s="7"/>
      <c r="H159" s="12"/>
      <c r="I159" s="5"/>
      <c r="J159" s="6"/>
      <c r="M159" s="16"/>
    </row>
    <row r="160" spans="1:13">
      <c r="A160" s="10">
        <v>156</v>
      </c>
      <c r="F160" s="7"/>
      <c r="H160" s="12"/>
      <c r="I160" s="5"/>
      <c r="J160" s="6"/>
      <c r="M160" s="16"/>
    </row>
    <row r="161" spans="1:13">
      <c r="A161" s="10">
        <v>157</v>
      </c>
      <c r="F161" s="7"/>
      <c r="H161" s="12"/>
      <c r="I161" s="5"/>
      <c r="J161" s="6"/>
      <c r="M161" s="16"/>
    </row>
    <row r="162" spans="1:13">
      <c r="A162" s="10">
        <v>158</v>
      </c>
      <c r="F162" s="7"/>
      <c r="H162" s="12"/>
      <c r="I162" s="5"/>
      <c r="J162" s="6"/>
      <c r="M162" s="16"/>
    </row>
    <row r="163" spans="1:13">
      <c r="A163" s="10">
        <v>159</v>
      </c>
      <c r="F163" s="7"/>
      <c r="H163" s="12"/>
      <c r="I163" s="5"/>
      <c r="J163" s="6"/>
      <c r="M163" s="16"/>
    </row>
    <row r="164" spans="1:13">
      <c r="A164" s="10">
        <v>160</v>
      </c>
      <c r="F164" s="7"/>
      <c r="H164" s="12"/>
      <c r="I164" s="5"/>
      <c r="J164" s="6"/>
      <c r="M164" s="16"/>
    </row>
    <row r="165" spans="1:13">
      <c r="A165" s="10">
        <v>161</v>
      </c>
      <c r="F165" s="7"/>
      <c r="H165" s="12"/>
      <c r="I165" s="5"/>
      <c r="J165" s="6"/>
      <c r="M165" s="16"/>
    </row>
    <row r="166" spans="1:13">
      <c r="A166" s="10">
        <v>162</v>
      </c>
      <c r="F166" s="7"/>
      <c r="H166" s="12"/>
      <c r="I166" s="5"/>
      <c r="J166" s="6"/>
      <c r="M166" s="16"/>
    </row>
    <row r="167" spans="1:13">
      <c r="A167" s="10">
        <v>163</v>
      </c>
      <c r="F167" s="7"/>
      <c r="H167" s="12"/>
      <c r="I167" s="5"/>
      <c r="J167" s="6"/>
      <c r="M167" s="16"/>
    </row>
    <row r="168" spans="1:13">
      <c r="A168" s="10">
        <v>164</v>
      </c>
      <c r="F168" s="7"/>
      <c r="H168" s="12"/>
      <c r="I168" s="5"/>
      <c r="J168" s="6"/>
      <c r="M168" s="16"/>
    </row>
    <row r="169" spans="1:13">
      <c r="A169" s="10">
        <v>178</v>
      </c>
      <c r="F169" s="7"/>
      <c r="H169" s="12"/>
      <c r="I169" s="5"/>
      <c r="J169" s="6"/>
      <c r="M169" s="16"/>
    </row>
    <row r="170" spans="1:13">
      <c r="A170" s="10">
        <v>179</v>
      </c>
      <c r="F170" s="7"/>
      <c r="H170" s="12"/>
      <c r="I170" s="5"/>
      <c r="J170" s="6"/>
      <c r="M170" s="16"/>
    </row>
    <row r="171" spans="1:13">
      <c r="A171" s="10">
        <v>180</v>
      </c>
      <c r="F171" s="7"/>
      <c r="H171" s="12"/>
      <c r="I171" s="5"/>
      <c r="J171" s="6"/>
      <c r="M171" s="16"/>
    </row>
    <row r="172" spans="1:13">
      <c r="A172" s="10">
        <v>181</v>
      </c>
      <c r="F172" s="7"/>
      <c r="H172" s="12"/>
      <c r="I172" s="5"/>
      <c r="J172" s="6"/>
      <c r="M172" s="16"/>
    </row>
    <row r="173" spans="1:13">
      <c r="A173" s="10">
        <v>182</v>
      </c>
      <c r="F173" s="7"/>
      <c r="H173" s="12"/>
      <c r="I173" s="5"/>
      <c r="J173" s="6"/>
      <c r="M173" s="16"/>
    </row>
    <row r="174" spans="1:13">
      <c r="A174" s="10">
        <v>183</v>
      </c>
      <c r="F174" s="7"/>
      <c r="H174" s="12"/>
      <c r="I174" s="5"/>
      <c r="J174" s="6"/>
      <c r="M174" s="16"/>
    </row>
    <row r="175" spans="1:13">
      <c r="A175" s="10">
        <v>184</v>
      </c>
      <c r="F175" s="7"/>
      <c r="H175" s="12"/>
      <c r="I175" s="5"/>
      <c r="J175" s="6"/>
      <c r="M175" s="16"/>
    </row>
    <row r="176" spans="1:13">
      <c r="A176" s="10">
        <v>185</v>
      </c>
      <c r="F176" s="7"/>
      <c r="H176" s="12"/>
      <c r="I176" s="5"/>
      <c r="J176" s="6"/>
      <c r="M176" s="16"/>
    </row>
    <row r="177" spans="1:13">
      <c r="A177" s="10">
        <v>186</v>
      </c>
      <c r="F177" s="7"/>
      <c r="H177" s="12"/>
      <c r="I177" s="5"/>
      <c r="J177" s="6"/>
      <c r="M177" s="16"/>
    </row>
    <row r="178" spans="1:13">
      <c r="A178" s="10">
        <v>187</v>
      </c>
      <c r="F178" s="7"/>
      <c r="H178" s="12"/>
      <c r="I178" s="5"/>
      <c r="J178" s="6"/>
      <c r="M178" s="16"/>
    </row>
    <row r="179" spans="1:13">
      <c r="A179" s="10">
        <v>188</v>
      </c>
      <c r="F179" s="7"/>
      <c r="H179" s="12"/>
      <c r="I179" s="5"/>
      <c r="J179" s="6"/>
      <c r="M179" s="16"/>
    </row>
    <row r="180" spans="1:13">
      <c r="A180" s="10">
        <v>189</v>
      </c>
      <c r="F180" s="7"/>
      <c r="H180" s="12"/>
      <c r="I180" s="5"/>
      <c r="J180" s="6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85">
    <sortCondition descending="1" ref="C3:C85"/>
  </sortState>
  <phoneticPr fontId="7"/>
  <conditionalFormatting sqref="C85:C176 C4:C70 C73:C80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50800</xdr:colOff>
                    <xdr:row>1</xdr:row>
                    <xdr:rowOff>38100</xdr:rowOff>
                  </from>
                  <to>
                    <xdr:col>2</xdr:col>
                    <xdr:colOff>762000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63500</xdr:colOff>
                    <xdr:row>1</xdr:row>
                    <xdr:rowOff>63500</xdr:rowOff>
                  </from>
                  <to>
                    <xdr:col>4</xdr:col>
                    <xdr:colOff>520700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127000</xdr:colOff>
                    <xdr:row>1</xdr:row>
                    <xdr:rowOff>63500</xdr:rowOff>
                  </from>
                  <to>
                    <xdr:col>6</xdr:col>
                    <xdr:colOff>635000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287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7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2018-02-02T16:17:01Z</dcterms:modified>
</cp:coreProperties>
</file>