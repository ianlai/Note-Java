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"/>
    </mc:Choice>
  </mc:AlternateContent>
  <bookViews>
    <workbookView xWindow="-32000" yWindow="-7420" windowWidth="32000" windowHeight="18000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91" i="1" l="1"/>
  <c r="M21" i="1"/>
  <c r="M20" i="1"/>
  <c r="M90" i="1"/>
  <c r="M7" i="1"/>
  <c r="M22" i="1"/>
  <c r="M4" i="1"/>
  <c r="M24" i="1"/>
  <c r="M52" i="1"/>
  <c r="M53" i="1"/>
  <c r="M54" i="1"/>
  <c r="M55" i="1"/>
  <c r="M78" i="1"/>
  <c r="M81" i="1"/>
  <c r="M80" i="1"/>
  <c r="M82" i="1"/>
  <c r="M69" i="1"/>
  <c r="O3" i="1"/>
  <c r="O1" i="1"/>
  <c r="N1" i="1"/>
  <c r="M31" i="1"/>
  <c r="M13" i="1"/>
  <c r="M14" i="1"/>
  <c r="M9" i="1"/>
  <c r="M8" i="1"/>
  <c r="M67" i="1"/>
  <c r="M74" i="1"/>
  <c r="M5" i="1"/>
  <c r="M6" i="1"/>
  <c r="M47" i="1"/>
  <c r="M46" i="1"/>
  <c r="M40" i="1"/>
  <c r="M44" i="1"/>
  <c r="M45" i="1"/>
  <c r="M49" i="1"/>
  <c r="M50" i="1"/>
  <c r="M51" i="1"/>
  <c r="M89" i="1"/>
  <c r="M88" i="1"/>
  <c r="M87" i="1"/>
  <c r="M86" i="1"/>
  <c r="M84" i="1"/>
  <c r="M83" i="1"/>
  <c r="M79" i="1"/>
  <c r="M68" i="1"/>
  <c r="M11" i="1"/>
  <c r="M66" i="1"/>
  <c r="M26" i="1"/>
  <c r="M25" i="1"/>
  <c r="M12" i="1"/>
  <c r="M75" i="1"/>
  <c r="M65" i="1"/>
  <c r="M23" i="1"/>
  <c r="M64" i="1"/>
  <c r="M63" i="1"/>
  <c r="M62" i="1"/>
  <c r="M61" i="1"/>
  <c r="M77" i="1"/>
  <c r="M39" i="1"/>
  <c r="M60" i="1"/>
  <c r="M38" i="1"/>
  <c r="M19" i="1"/>
  <c r="M10" i="1"/>
  <c r="M59" i="1"/>
  <c r="M58" i="1"/>
  <c r="M15" i="1"/>
  <c r="M18" i="1"/>
  <c r="M57" i="1"/>
  <c r="M56" i="1"/>
  <c r="M85" i="1"/>
  <c r="M36" i="1"/>
  <c r="M17" i="1"/>
  <c r="M35" i="1"/>
  <c r="M32" i="1"/>
  <c r="M29" i="1"/>
  <c r="M76" i="1"/>
  <c r="M41" i="1"/>
  <c r="M43" i="1"/>
  <c r="M42" i="1"/>
  <c r="M28" i="1"/>
  <c r="M73" i="1"/>
  <c r="M27" i="1"/>
  <c r="M34" i="1"/>
  <c r="M33" i="1"/>
  <c r="M72" i="1"/>
  <c r="M37" i="1"/>
  <c r="M71" i="1"/>
  <c r="M16" i="1"/>
  <c r="M70" i="1"/>
  <c r="M30" i="1"/>
  <c r="M48" i="1"/>
</calcChain>
</file>

<file path=xl/sharedStrings.xml><?xml version="1.0" encoding="utf-8"?>
<sst xmlns="http://schemas.openxmlformats.org/spreadsheetml/2006/main" count="531" uniqueCount="327">
  <si>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</si>
  <si>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</si>
  <si>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</si>
  <si>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</si>
  <si>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</si>
  <si>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</si>
  <si>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</si>
  <si>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</si>
  <si>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</si>
  <si>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</si>
  <si>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</si>
  <si>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</si>
  <si>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</si>
  <si>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</si>
  <si>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</si>
  <si>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</si>
  <si>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</si>
  <si>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</si>
  <si>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</si>
  <si>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</si>
  <si>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</si>
  <si>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</si>
  <si>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</si>
  <si>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</si>
  <si>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</si>
  <si>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</si>
  <si>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</si>
  <si>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</si>
  <si>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</si>
  <si>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</si>
  <si>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</si>
  <si>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</si>
  <si>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</si>
  <si>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</si>
  <si>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</si>
  <si>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</si>
  <si>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</si>
  <si>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</si>
  <si>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</si>
  <si>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</si>
  <si>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</si>
  <si>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</si>
  <si>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</si>
  <si>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</si>
  <si>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</si>
  <si>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</si>
  <si>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</si>
  <si>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</si>
  <si>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</si>
  <si>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</si>
  <si>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</si>
  <si>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</si>
  <si>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</si>
  <si>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</si>
  <si>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</si>
  <si>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</si>
  <si>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</si>
  <si>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</si>
  <si>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</si>
  <si>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</si>
  <si>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</si>
  <si>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</si>
  <si>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</si>
  <si>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</si>
  <si>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</si>
  <si>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</si>
  <si>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</si>
  <si>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</si>
  <si>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</si>
  <si>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</si>
  <si>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</si>
  <si>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</si>
  <si>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</si>
  <si>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</si>
  <si>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</si>
  <si>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</si>
  <si>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</si>
  <si>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</si>
  <si>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</si>
  <si>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</si>
  <si>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</si>
  <si>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</si>
  <si>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</si>
  <si>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</si>
  <si>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</si>
  <si>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</si>
  <si>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</si>
  <si>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</si>
  <si>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</si>
  <si>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</si>
  <si>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</si>
  <si>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</si>
  <si>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</si>
  <si>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</si>
  <si>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</si>
  <si>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</si>
  <si>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</si>
  <si>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</si>
  <si>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</si>
  <si>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</si>
  <si>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</si>
  <si>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</si>
  <si>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</si>
  <si>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</si>
  <si>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</si>
  <si>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</si>
  <si>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</si>
  <si>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</si>
  <si>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</si>
  <si>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</si>
  <si>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</si>
  <si>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</si>
  <si>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reverse排序 找到第k-1個元素就行
Collections.reverseOrder() 可以回傳遞減comparator 
Collections.sort(list, Collections.reverseOrder());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</si>
  <si>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</si>
  <si>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</si>
  <si>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</si>
  <si>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</si>
  <si>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</si>
  <si>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</si>
  <si>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</si>
  <si>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</si>
  <si>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</si>
  <si>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 xml:space="preserve">從root往下測 如果p, q都在root同一邊例如左邊 則往下測p,q是否在root.left的同一邊 如果是不同邊 則代表該node就是兩者的ancestor 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</si>
  <si>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</si>
  <si>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</si>
  <si>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</si>
  <si>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</si>
  <si>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</si>
  <si>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</si>
  <si>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</si>
  <si>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</si>
  <si>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</si>
  <si>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</si>
  <si>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</si>
  <si>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</si>
  <si>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</si>
  <si>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</si>
  <si>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</si>
  <si>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</si>
  <si>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</si>
  <si>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</si>
  <si>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</si>
  <si>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</si>
  <si>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</si>
  <si>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</si>
  <si>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</si>
  <si>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</si>
  <si>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</si>
  <si>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</si>
  <si>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</si>
  <si>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</si>
  <si>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</si>
  <si>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</si>
  <si>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</si>
  <si>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</si>
  <si>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</si>
  <si>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</si>
  <si>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</si>
  <si>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</si>
  <si>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</si>
  <si>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</si>
  <si>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</si>
  <si>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</si>
  <si>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</si>
  <si>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</si>
  <si>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</si>
  <si>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</si>
  <si>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Find All Numbers Disappeared In An Array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</si>
  <si>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</si>
  <si>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</si>
  <si>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</si>
  <si>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</si>
  <si>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</si>
  <si>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</si>
  <si>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</si>
  <si>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</si>
  <si>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</si>
  <si>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</si>
  <si>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</si>
  <si>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</si>
  <si>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</si>
  <si>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</si>
  <si>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</si>
  <si>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</si>
  <si>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</si>
  <si>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</si>
  <si>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</si>
  <si>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</si>
  <si>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</si>
  <si>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</si>
  <si>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</si>
  <si>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</si>
  <si>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</si>
  <si>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</si>
  <si>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</si>
  <si>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</si>
  <si>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</si>
  <si>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</si>
  <si>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</si>
  <si>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</si>
  <si>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</si>
  <si>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</si>
  <si>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</si>
  <si>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</si>
  <si>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</si>
  <si>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</si>
  <si>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</si>
  <si>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</si>
  <si>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</si>
  <si>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</si>
  <si>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</si>
  <si>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6"/>
  </si>
  <si>
    <t>House Robber</t>
    <phoneticPr fontId="6"/>
  </si>
  <si>
    <t>House Robber 2</t>
    <phoneticPr fontId="6"/>
  </si>
  <si>
    <t>給一個陣列 相鄰兩個不能都取 求加總最大和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</si>
  <si>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</si>
  <si>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</si>
  <si>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</si>
  <si>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</si>
  <si>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</si>
  <si>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</si>
  <si>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</si>
  <si>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</si>
  <si>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</si>
  <si>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</si>
  <si>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</si>
  <si>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</si>
  <si>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</si>
  <si>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</si>
  <si>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</si>
  <si>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</si>
  <si>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</si>
  <si>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</si>
  <si>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6"/>
  </si>
  <si>
    <t>Add Strings</t>
  </si>
  <si>
    <t>給兩個字串數字 相加後回傳字串</t>
  </si>
  <si>
    <t>Binary Tree Preorder Traversal</t>
  </si>
  <si>
    <t>traversal</t>
  </si>
  <si>
    <t>Binary Tree Inorder Traversal</t>
  </si>
  <si>
    <t>使用iterative</t>
  </si>
  <si>
    <t>Binary Tree Postorder Traversal</t>
  </si>
  <si>
    <t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</t>
  </si>
  <si>
    <t xml:space="preserve">Convert BST to Greater Tree </t>
  </si>
  <si>
    <t>給一個BST 所有node的新的值定義為 自己的值加上所有比他大的node的值</t>
  </si>
  <si>
    <t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</si>
  <si>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</si>
  <si>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</si>
  <si>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</si>
  <si>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</si>
  <si>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 xml:space="preserve">n+1個資料 資料範圍介於1到n 證明一定有重複 又假設重複只有一個 找出那個重複的 並且不能修改array本身 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</si>
  <si>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</si>
  <si>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</si>
  <si>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</si>
  <si>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</si>
  <si>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</si>
  <si>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</si>
  <si>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</si>
  <si>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</si>
  <si>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</si>
  <si>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</si>
  <si>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</si>
  <si>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</si>
  <si>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</si>
  <si>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</t>
  </si>
  <si>
    <t>Group Anagrams</t>
  </si>
  <si>
    <t>algo</t>
  </si>
  <si>
    <t xml:space="preserve">給一個String[] 把anagram(同字母組成字)分群 回傳一個List of List </t>
  </si>
  <si>
    <t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</si>
  <si>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</si>
  <si>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</si>
  <si>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</si>
  <si>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</si>
  <si>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</si>
  <si>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</si>
  <si>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</si>
  <si>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</si>
  <si>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</si>
  <si>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</si>
  <si>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</si>
  <si>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</si>
  <si>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</si>
  <si>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</si>
  <si>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</si>
  <si>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</si>
  <si>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</si>
  <si>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</si>
  <si>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</si>
  <si>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</si>
  <si>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</si>
  <si>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</si>
  <si>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</si>
  <si>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</si>
  <si>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</si>
  <si>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</si>
  <si>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</si>
  <si>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</si>
  <si>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</si>
  <si>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</si>
  <si>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</si>
  <si>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</si>
  <si>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</si>
  <si>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</si>
  <si>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</si>
  <si>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</si>
  <si>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t>backtrack func</t>
    </r>
    <r>
      <rPr>
        <sz val="10"/>
        <color theme="1"/>
        <rFont val="Malgun Gothic Semilight"/>
        <family val="3"/>
        <charset val="129"/>
      </rPr>
      <t>跳出條件是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</si>
  <si>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#46</t>
    </r>
    <r>
      <rPr>
        <sz val="10"/>
        <color theme="1"/>
        <rFont val="Malgun Gothic Semilight"/>
        <family val="3"/>
        <charset val="129"/>
      </rPr>
      <t>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</t>
    </r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</si>
  <si>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</si>
  <si>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r>
      <rPr>
        <sz val="10"/>
        <color theme="1"/>
        <rFont val="Malgun Gothic Semilight"/>
        <family val="3"/>
        <charset val="129"/>
      </rPr>
      <t>O(n2) 雙迴圈
O(nlogn) 先排序 再用兩指標指著前後 相加太小就把前指標往後 反之把後指標往前
O(n) 用</t>
    </r>
    <r>
      <rPr>
        <sz val="10"/>
        <color theme="1"/>
        <rFont val="Arial"/>
        <family val="2"/>
      </rPr>
      <t>hashmap</t>
    </r>
    <r>
      <rPr>
        <sz val="10"/>
        <color theme="1"/>
        <rFont val="Malgun Gothic Semilight"/>
        <family val="3"/>
        <charset val="129"/>
      </rPr>
      <t>來做 裡面存入(target-A[i], i) 當map.containsKey(A[i])時 代表目前的i 和 map.get(A[i])就是兩個元素的index</t>
    </r>
  </si>
  <si>
    <r>
      <rPr>
        <sz val="10"/>
        <color theme="1"/>
        <rFont val="Malgun Gothic Semilight"/>
        <family val="3"/>
        <charset val="129"/>
      </rPr>
      <t>使用快慢指標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一開始兩者都指向</t>
    </r>
    <r>
      <rPr>
        <sz val="10"/>
        <color theme="1"/>
        <rFont val="Arial"/>
        <family val="2"/>
      </rPr>
      <t xml:space="preserve">head </t>
    </r>
    <r>
      <rPr>
        <sz val="10"/>
        <color theme="1"/>
        <rFont val="Malgun Gothic Semilight"/>
        <family val="3"/>
        <charset val="129"/>
      </rPr>
      <t>快指摽一次兩步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慢指摽一次一步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快慢指標重疊代表有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快指標走完代表沒有</t>
    </r>
    <phoneticPr fontId="6"/>
  </si>
  <si>
    <r>
      <rPr>
        <sz val="10"/>
        <color theme="1"/>
        <rFont val="Malgun Gothic Semilight"/>
        <family val="3"/>
        <charset val="129"/>
      </rPr>
      <t>造一個</t>
    </r>
    <r>
      <rPr>
        <sz val="10"/>
        <color theme="1"/>
        <rFont val="Arial"/>
        <family val="2"/>
      </rPr>
      <t>dummy node</t>
    </r>
    <r>
      <rPr>
        <sz val="10"/>
        <color theme="1"/>
        <rFont val="Malgun Gothic Semilight"/>
        <family val="3"/>
        <charset val="129"/>
      </rPr>
      <t>，然後就進入迴圈，迴圈中分成四種</t>
    </r>
    <r>
      <rPr>
        <sz val="10"/>
        <color theme="1"/>
        <rFont val="Arial"/>
        <family val="2"/>
      </rPr>
      <t>case, l1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都還沒結束則比較大小，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已結束則把剩下來的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全部接上並回傳，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已結束則接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並回傳，兩者都結束也是回傳</t>
    </r>
    <phoneticPr fontId="6"/>
  </si>
  <si>
    <r>
      <t>sorting</t>
    </r>
    <r>
      <rPr>
        <sz val="10"/>
        <color theme="1"/>
        <rFont val="Malgun Gothic Semilight"/>
        <family val="3"/>
        <charset val="129"/>
      </rPr>
      <t>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  </r>
    <phoneticPr fontId="6"/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</si>
  <si>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  <phoneticPr fontId="6"/>
  </si>
  <si>
    <r>
      <rPr>
        <sz val="10"/>
        <color theme="1"/>
        <rFont val="Malgun Gothic Semilight"/>
        <family val="3"/>
        <charset val="129"/>
      </rPr>
      <t>元素介於</t>
    </r>
    <r>
      <rPr>
        <sz val="10"/>
        <color theme="1"/>
        <rFont val="Arial"/>
        <family val="2"/>
      </rPr>
      <t>1~n</t>
    </r>
    <r>
      <rPr>
        <sz val="10"/>
        <color theme="1"/>
        <rFont val="Malgun Gothic Semilight"/>
        <family val="3"/>
        <charset val="129"/>
      </rPr>
      <t>就是最大的</t>
    </r>
    <r>
      <rPr>
        <sz val="10"/>
        <color theme="1"/>
        <rFont val="Arial"/>
        <family val="2"/>
      </rPr>
      <t xml:space="preserve">hint  </t>
    </r>
    <r>
      <rPr>
        <sz val="10"/>
        <color theme="1"/>
        <rFont val="Malgun Gothic Semilight"/>
        <family val="3"/>
        <charset val="129"/>
      </rPr>
      <t>用原本陣列的正負號來儲存一個或兩個的資訊 這樣可以不用多開</t>
    </r>
    <r>
      <rPr>
        <sz val="10"/>
        <color theme="1"/>
        <rFont val="Arial"/>
        <family val="2"/>
      </rPr>
      <t>array</t>
    </r>
    <r>
      <rPr>
        <sz val="10"/>
        <color theme="1"/>
        <rFont val="Malgun Gothic Semilight"/>
        <family val="3"/>
        <charset val="129"/>
      </rPr>
      <t>來儲存資料</t>
    </r>
    <phoneticPr fontId="6"/>
  </si>
  <si>
    <r>
      <rPr>
        <sz val="10"/>
        <color theme="1"/>
        <rFont val="Malgun Gothic Semilight"/>
        <family val="3"/>
        <charset val="129"/>
      </rPr>
      <t>因為是反著存，往前就跟平常加法由右至左一樣，只要記得處理進位。
開第三條</t>
    </r>
    <r>
      <rPr>
        <sz val="10"/>
        <color theme="1"/>
        <rFont val="Arial"/>
        <family val="2"/>
      </rPr>
      <t>ListNode</t>
    </r>
    <r>
      <rPr>
        <sz val="10"/>
        <color theme="1"/>
        <rFont val="Malgun Gothic Semilight"/>
        <family val="3"/>
        <charset val="129"/>
      </rPr>
      <t>來接，要注意的是如果某條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先結束的情況。
因為不知道</t>
    </r>
    <r>
      <rPr>
        <sz val="10"/>
        <color theme="1"/>
        <rFont val="Arial"/>
        <family val="2"/>
      </rPr>
      <t>List1,List2</t>
    </r>
    <r>
      <rPr>
        <sz val="10"/>
        <color theme="1"/>
        <rFont val="Malgun Gothic Semilight"/>
        <family val="3"/>
        <charset val="129"/>
      </rPr>
      <t>誰長，所以假設</t>
    </r>
    <r>
      <rPr>
        <sz val="10"/>
        <color theme="1"/>
        <rFont val="Arial"/>
        <family val="2"/>
      </rPr>
      <t>List1</t>
    </r>
    <r>
      <rPr>
        <sz val="10"/>
        <color theme="1"/>
        <rFont val="Malgun Gothic Semilight"/>
        <family val="3"/>
        <charset val="129"/>
      </rPr>
      <t>較長，
但在迴圈內就得處理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先結束的狀況。迴圈結束後，
再處理如果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還有剩的情況，最後才處理如果兩者都結束，
但有進位的情況，總共三種</t>
    </r>
    <r>
      <rPr>
        <sz val="10"/>
        <color theme="1"/>
        <rFont val="Arial"/>
        <family val="2"/>
      </rPr>
      <t>case</t>
    </r>
    <r>
      <rPr>
        <sz val="10"/>
        <color theme="1"/>
        <rFont val="Malgun Gothic Semilight"/>
        <family val="3"/>
        <charset val="129"/>
      </rPr>
      <t>要處理。</t>
    </r>
    <phoneticPr fontId="6"/>
  </si>
  <si>
    <r>
      <rPr>
        <sz val="10"/>
        <color theme="1"/>
        <rFont val="Malgun Gothic Semilight"/>
        <family val="3"/>
        <charset val="129"/>
      </rPr>
      <t>一開始寫得很複雜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而且還是一堆錯</t>
    </r>
    <r>
      <rPr>
        <sz val="10"/>
        <color theme="1"/>
        <rFont val="Arial"/>
        <family val="2"/>
      </rPr>
      <t xml:space="preserve">) </t>
    </r>
    <r>
      <rPr>
        <sz val="10"/>
        <color theme="1"/>
        <rFont val="Malgun Gothic Semilight"/>
        <family val="3"/>
        <charset val="129"/>
      </rPr>
      <t>但其實可以把寫法寫得很簡單
重點在於接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的時候不要都是接</t>
    </r>
    <r>
      <rPr>
        <sz val="10"/>
        <color theme="1"/>
        <rFont val="Arial"/>
        <family val="2"/>
      </rPr>
      <t>left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right 
</t>
    </r>
    <r>
      <rPr>
        <sz val="10"/>
        <color theme="1"/>
        <rFont val="Malgun Gothic Semilight"/>
        <family val="3"/>
        <charset val="129"/>
      </rPr>
      <t>要接</t>
    </r>
    <r>
      <rPr>
        <sz val="10"/>
        <color theme="1"/>
        <rFont val="Arial"/>
        <family val="2"/>
      </rPr>
      <t>recur(left)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recur(right) </t>
    </r>
    <r>
      <rPr>
        <sz val="10"/>
        <color theme="1"/>
        <rFont val="Malgun Gothic Semilight"/>
        <family val="3"/>
        <charset val="129"/>
      </rPr>
      <t>那會讓事情變簡單不少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</si>
  <si>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</si>
  <si>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來接，順序是左上右。因為左邊要先，中間在後，所以一路往左，並且依序把中間</t>
    </r>
    <r>
      <rPr>
        <sz val="10"/>
        <color theme="1"/>
        <rFont val="Arial"/>
        <family val="2"/>
      </rPr>
      <t>push</t>
    </r>
    <r>
      <rPr>
        <sz val="10"/>
        <color theme="1"/>
        <rFont val="Malgun Gothic Semilight"/>
        <family val="3"/>
        <charset val="129"/>
      </rPr>
      <t>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，右邊不需要處理，因為右邊可以等取出中間時才處理。等到跳到</t>
    </r>
    <r>
      <rPr>
        <sz val="10"/>
        <color theme="1"/>
        <rFont val="Arial"/>
        <family val="2"/>
      </rPr>
      <t>null</t>
    </r>
    <r>
      <rPr>
        <sz val="10"/>
        <color theme="1"/>
        <rFont val="Malgun Gothic Semilight"/>
        <family val="3"/>
        <charset val="129"/>
      </rPr>
      <t>（最左邊</t>
    </r>
    <r>
      <rPr>
        <sz val="10"/>
        <color theme="1"/>
        <rFont val="Arial"/>
        <family val="2"/>
      </rPr>
      <t>null)</t>
    </r>
    <r>
      <rPr>
        <sz val="10"/>
        <color theme="1"/>
        <rFont val="Malgun Gothic Semilight"/>
        <family val="3"/>
        <charset val="129"/>
      </rPr>
      <t>的時候，開始</t>
    </r>
    <r>
      <rPr>
        <sz val="10"/>
        <color theme="1"/>
        <rFont val="Arial"/>
        <family val="2"/>
      </rPr>
      <t>pull</t>
    </r>
    <r>
      <rPr>
        <sz val="10"/>
        <color theme="1"/>
        <rFont val="Malgun Gothic Semilight"/>
        <family val="3"/>
        <charset val="129"/>
      </rPr>
      <t>出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。這時候因為是要考慮到上右，所以先把中間放入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才往右邊跳，當右邊處理結束後，又會回到上一層的中間，依次往上回去。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</si>
  <si>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，等他下次迴圈後也是會取出一樣的左邊，但就比較麻煩），依序往下。</t>
    </r>
    <phoneticPr fontId="6"/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</si>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</sst>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/d;@"/>
    <numFmt numFmtId="165" formatCode="0_);[Red]\(0\)"/>
  </numFmts>
  <fonts count="2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0" fillId="0" borderId="0" xfId="0" applyFont="1" applyAlignment="1">
      <alignment vertical="top" wrapText="1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5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5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5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14" fontId="16" fillId="0" borderId="2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vertical="top" wrapText="1"/>
    </xf>
    <xf numFmtId="0" fontId="16" fillId="0" borderId="2" xfId="0" applyFont="1" applyFill="1" applyBorder="1" applyAlignment="1">
      <alignment horizontal="left" vertical="top" wrapText="1"/>
    </xf>
    <xf numFmtId="0" fontId="16" fillId="0" borderId="2" xfId="0" applyFont="1" applyBorder="1" applyAlignment="1">
      <alignment horizontal="left" vertical="top" wrapText="1"/>
    </xf>
    <xf numFmtId="14" fontId="16" fillId="0" borderId="1" xfId="0" applyNumberFormat="1" applyFont="1" applyBorder="1" applyAlignment="1">
      <alignment vertical="top" wrapText="1"/>
    </xf>
    <xf numFmtId="0" fontId="16" fillId="0" borderId="1" xfId="0" applyFont="1" applyBorder="1" applyAlignment="1">
      <alignment horizontal="center" vertical="top" wrapText="1"/>
    </xf>
    <xf numFmtId="0" fontId="16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right" vertical="top" wrapText="1"/>
    </xf>
    <xf numFmtId="164" fontId="16" fillId="0" borderId="1" xfId="0" applyNumberFormat="1" applyFont="1" applyBorder="1" applyAlignment="1">
      <alignment vertical="top" wrapText="1"/>
    </xf>
    <xf numFmtId="164" fontId="16" fillId="0" borderId="1" xfId="0" applyNumberFormat="1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wrapText="1"/>
    </xf>
    <xf numFmtId="165" fontId="16" fillId="0" borderId="1" xfId="0" applyNumberFormat="1" applyFont="1" applyBorder="1" applyAlignment="1">
      <alignment horizontal="right" vertical="top" wrapText="1"/>
    </xf>
    <xf numFmtId="0" fontId="17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vertical="top" wrapText="1"/>
    </xf>
    <xf numFmtId="0" fontId="17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center" vertical="top" wrapText="1"/>
    </xf>
    <xf numFmtId="165" fontId="16" fillId="0" borderId="1" xfId="0" applyNumberFormat="1" applyFont="1" applyFill="1" applyBorder="1" applyAlignment="1">
      <alignment horizontal="right" vertical="top" wrapText="1"/>
    </xf>
    <xf numFmtId="0" fontId="16" fillId="0" borderId="1" xfId="0" applyFont="1" applyBorder="1" applyAlignment="1">
      <alignment wrapText="1"/>
    </xf>
    <xf numFmtId="165" fontId="16" fillId="0" borderId="1" xfId="0" applyNumberFormat="1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165" fontId="16" fillId="0" borderId="2" xfId="0" applyNumberFormat="1" applyFont="1" applyBorder="1" applyAlignment="1">
      <alignment horizontal="right" vertical="top" wrapText="1"/>
    </xf>
    <xf numFmtId="0" fontId="19" fillId="2" borderId="0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11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auto="1"/>
      </font>
    </dxf>
    <dxf>
      <font>
        <color auto="1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2"/>
  <sheetViews>
    <sheetView tabSelected="1" zoomScaleNormal="100" workbookViewId="0">
      <pane ySplit="3" topLeftCell="A87" activePane="bottomLeft" state="frozen"/>
      <selection pane="bottomLeft" activeCell="J91" sqref="J91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2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30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163</v>
      </c>
      <c r="B1" s="24" t="s">
        <v>211</v>
      </c>
      <c r="C1" s="33" t="s">
        <v>168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8">
        <f>COUNTA(B4:B200)</f>
        <v>88</v>
      </c>
      <c r="O1" s="38">
        <f>COUNTA(J10:J206)</f>
        <v>72</v>
      </c>
    </row>
    <row r="2" spans="1:30" s="23" customFormat="1" ht="16" thickBot="1">
      <c r="A2" s="18"/>
      <c r="B2" s="29"/>
      <c r="C2" s="31"/>
      <c r="D2" s="19"/>
      <c r="E2" s="19"/>
      <c r="F2" s="20"/>
      <c r="G2" s="19"/>
      <c r="H2" s="19"/>
      <c r="I2" s="20"/>
      <c r="J2" s="20"/>
      <c r="K2" s="21"/>
      <c r="L2" s="21"/>
      <c r="M2" s="22"/>
      <c r="N2" s="89" t="s">
        <v>271</v>
      </c>
      <c r="O2" s="89" t="s">
        <v>272</v>
      </c>
    </row>
    <row r="3" spans="1:30" s="48" customFormat="1" ht="16" thickBot="1">
      <c r="A3" s="41"/>
      <c r="B3" s="42"/>
      <c r="C3" s="43"/>
      <c r="D3" s="44"/>
      <c r="E3" s="44"/>
      <c r="F3" s="45"/>
      <c r="G3" s="44"/>
      <c r="H3" s="44"/>
      <c r="I3" s="45"/>
      <c r="J3" s="45"/>
      <c r="K3" s="46"/>
      <c r="L3" s="46"/>
      <c r="M3" s="47"/>
      <c r="N3" s="91">
        <v>217</v>
      </c>
      <c r="O3" s="90" t="str">
        <f>IF(COUNTIF(D4:D100,N3)&gt;0, "Done", "Not Yet!")</f>
        <v>Done</v>
      </c>
    </row>
    <row r="4" spans="1:30" s="40" customFormat="1" ht="118.5" customHeight="1" thickBot="1">
      <c r="A4" s="39">
        <v>82</v>
      </c>
      <c r="B4" s="57">
        <v>43130</v>
      </c>
      <c r="C4" s="57">
        <v>43130</v>
      </c>
      <c r="D4" s="58">
        <v>49</v>
      </c>
      <c r="E4" s="59" t="s">
        <v>14</v>
      </c>
      <c r="F4" s="60" t="s">
        <v>264</v>
      </c>
      <c r="G4" s="59" t="s">
        <v>97</v>
      </c>
      <c r="H4" s="59" t="s">
        <v>265</v>
      </c>
      <c r="I4" s="61" t="s">
        <v>266</v>
      </c>
      <c r="J4" s="59" t="s">
        <v>267</v>
      </c>
      <c r="K4" s="88">
        <v>437</v>
      </c>
      <c r="L4" s="88">
        <v>38</v>
      </c>
      <c r="M4" s="54">
        <f>IF(ISBLANK(K4),,((K4-L4*2)+1000)/9)</f>
        <v>151.22222222222223</v>
      </c>
    </row>
    <row r="5" spans="1:30" s="35" customFormat="1" ht="118.5" customHeight="1" thickBot="1">
      <c r="A5" s="34">
        <v>69</v>
      </c>
      <c r="B5" s="68">
        <v>43087</v>
      </c>
      <c r="C5" s="62">
        <v>43130</v>
      </c>
      <c r="D5" s="63">
        <v>169</v>
      </c>
      <c r="E5" s="64" t="s">
        <v>32</v>
      </c>
      <c r="F5" s="65" t="s">
        <v>219</v>
      </c>
      <c r="G5" s="64" t="s">
        <v>217</v>
      </c>
      <c r="H5" s="64" t="s">
        <v>284</v>
      </c>
      <c r="I5" s="66" t="s">
        <v>229</v>
      </c>
      <c r="J5" s="64" t="s">
        <v>230</v>
      </c>
      <c r="K5" s="71">
        <v>416</v>
      </c>
      <c r="L5" s="71">
        <v>39</v>
      </c>
      <c r="M5" s="37">
        <f>IF(ISBLANK(K5),,((K5-L5*2)+1000)/9)</f>
        <v>148.66666666666666</v>
      </c>
      <c r="AA5" s="50"/>
      <c r="AB5" s="50"/>
      <c r="AC5" s="50"/>
      <c r="AD5" s="50"/>
    </row>
    <row r="6" spans="1:30" s="35" customFormat="1" ht="118.5" customHeight="1" thickBot="1">
      <c r="A6" s="34">
        <v>70</v>
      </c>
      <c r="B6" s="68">
        <v>43087</v>
      </c>
      <c r="C6" s="68">
        <v>43087</v>
      </c>
      <c r="D6" s="63">
        <v>179</v>
      </c>
      <c r="E6" s="64" t="s">
        <v>14</v>
      </c>
      <c r="F6" s="65" t="s">
        <v>220</v>
      </c>
      <c r="G6" s="64" t="s">
        <v>217</v>
      </c>
      <c r="H6" s="64" t="s">
        <v>289</v>
      </c>
      <c r="I6" s="66" t="s">
        <v>231</v>
      </c>
      <c r="J6" s="64" t="s">
        <v>232</v>
      </c>
      <c r="K6" s="71">
        <v>215</v>
      </c>
      <c r="L6" s="71">
        <v>23</v>
      </c>
      <c r="M6" s="37">
        <f>IF(ISBLANK(K6),,((K6-L6*2)+1000)/9)</f>
        <v>129.88888888888889</v>
      </c>
    </row>
    <row r="7" spans="1:30" s="35" customFormat="1" ht="118.5" customHeight="1" thickBot="1">
      <c r="A7" s="34">
        <v>84</v>
      </c>
      <c r="B7" s="62">
        <v>43136</v>
      </c>
      <c r="C7" s="62">
        <v>43136</v>
      </c>
      <c r="D7" s="63">
        <v>202</v>
      </c>
      <c r="E7" s="64" t="s">
        <v>32</v>
      </c>
      <c r="F7" s="65" t="s">
        <v>276</v>
      </c>
      <c r="G7" s="64" t="s">
        <v>97</v>
      </c>
      <c r="H7" s="64" t="s">
        <v>265</v>
      </c>
      <c r="I7" s="66" t="s">
        <v>277</v>
      </c>
      <c r="J7" s="64" t="s">
        <v>278</v>
      </c>
      <c r="K7" s="67">
        <v>267</v>
      </c>
      <c r="L7" s="67">
        <v>57</v>
      </c>
      <c r="M7" s="49">
        <f>IF(ISBLANK(K7),,((K7-L7*2)+1000)/9)</f>
        <v>128.11111111111111</v>
      </c>
    </row>
    <row r="8" spans="1:30" s="35" customFormat="1" ht="118.5" customHeight="1" thickBot="1">
      <c r="A8" s="34">
        <v>66</v>
      </c>
      <c r="B8" s="68">
        <v>43087</v>
      </c>
      <c r="C8" s="64"/>
      <c r="D8" s="63">
        <v>287</v>
      </c>
      <c r="E8" s="64" t="s">
        <v>223</v>
      </c>
      <c r="F8" s="65" t="s">
        <v>298</v>
      </c>
      <c r="G8" s="64" t="s">
        <v>217</v>
      </c>
      <c r="H8" s="64" t="s">
        <v>286</v>
      </c>
      <c r="I8" s="72" t="s">
        <v>249</v>
      </c>
      <c r="J8" s="64"/>
      <c r="K8" s="71">
        <v>660</v>
      </c>
      <c r="L8" s="71">
        <v>53</v>
      </c>
      <c r="M8" s="37">
        <f>IF(ISBLANK(K8),,((K8-L8*2)+1000)/9)</f>
        <v>172.66666666666666</v>
      </c>
    </row>
    <row r="9" spans="1:30" s="35" customFormat="1" ht="118.5" customHeight="1" thickBot="1">
      <c r="A9" s="34">
        <v>65</v>
      </c>
      <c r="B9" s="68">
        <v>43087</v>
      </c>
      <c r="C9" s="62">
        <v>43130</v>
      </c>
      <c r="D9" s="63">
        <v>347</v>
      </c>
      <c r="E9" s="64" t="s">
        <v>172</v>
      </c>
      <c r="F9" s="65" t="s">
        <v>285</v>
      </c>
      <c r="G9" s="64" t="s">
        <v>217</v>
      </c>
      <c r="H9" s="64" t="s">
        <v>286</v>
      </c>
      <c r="I9" s="73" t="s">
        <v>306</v>
      </c>
      <c r="J9" s="64" t="s">
        <v>263</v>
      </c>
      <c r="K9" s="71">
        <v>308</v>
      </c>
      <c r="L9" s="71">
        <v>24</v>
      </c>
      <c r="M9" s="37">
        <f>IF(ISBLANK(K9),,((K9-L9*2)+1000)/9)</f>
        <v>140</v>
      </c>
    </row>
    <row r="10" spans="1:30" s="35" customFormat="1" ht="118.5" customHeight="1" thickBot="1">
      <c r="A10" s="34">
        <v>42</v>
      </c>
      <c r="B10" s="68">
        <v>43063</v>
      </c>
      <c r="C10" s="68">
        <v>43063</v>
      </c>
      <c r="D10" s="63">
        <v>200</v>
      </c>
      <c r="E10" s="64" t="s">
        <v>14</v>
      </c>
      <c r="F10" s="65" t="s">
        <v>106</v>
      </c>
      <c r="G10" s="64" t="s">
        <v>97</v>
      </c>
      <c r="H10" s="64" t="s">
        <v>107</v>
      </c>
      <c r="I10" s="66" t="s">
        <v>108</v>
      </c>
      <c r="J10" s="64" t="s">
        <v>109</v>
      </c>
      <c r="K10" s="71">
        <v>486</v>
      </c>
      <c r="L10" s="71">
        <v>24</v>
      </c>
      <c r="M10" s="37">
        <f>IF(ISBLANK(K10),,((K10-L10*2)+1000)/9)</f>
        <v>159.77777777777777</v>
      </c>
      <c r="R10" s="50"/>
      <c r="S10" s="50"/>
      <c r="T10" s="50"/>
      <c r="U10" s="50"/>
      <c r="V10" s="50"/>
      <c r="W10" s="50"/>
      <c r="X10" s="50"/>
      <c r="Y10" s="50"/>
      <c r="Z10" s="50"/>
    </row>
    <row r="11" spans="1:30" s="35" customFormat="1" ht="118.5" customHeight="1" thickBot="1">
      <c r="A11" s="34">
        <v>43</v>
      </c>
      <c r="B11" s="68">
        <v>43063</v>
      </c>
      <c r="C11" s="68">
        <v>43063</v>
      </c>
      <c r="D11" s="63">
        <v>463</v>
      </c>
      <c r="E11" s="64" t="s">
        <v>32</v>
      </c>
      <c r="F11" s="65" t="s">
        <v>151</v>
      </c>
      <c r="G11" s="64" t="s">
        <v>97</v>
      </c>
      <c r="H11" s="64" t="s">
        <v>107</v>
      </c>
      <c r="I11" s="66" t="s">
        <v>152</v>
      </c>
      <c r="J11" s="64" t="s">
        <v>153</v>
      </c>
      <c r="K11" s="71">
        <v>264</v>
      </c>
      <c r="L11" s="71">
        <v>27</v>
      </c>
      <c r="M11" s="37">
        <f>IF(ISBLANK(K11),,((K11-L11*2)+1000)/9)</f>
        <v>134.44444444444446</v>
      </c>
    </row>
    <row r="12" spans="1:30" s="35" customFormat="1" ht="118.5" customHeight="1" thickBot="1">
      <c r="A12" s="34">
        <v>38</v>
      </c>
      <c r="B12" s="68">
        <v>43062</v>
      </c>
      <c r="C12" s="68">
        <v>43062</v>
      </c>
      <c r="D12" s="63">
        <v>398</v>
      </c>
      <c r="E12" s="64" t="s">
        <v>14</v>
      </c>
      <c r="F12" s="65" t="s">
        <v>166</v>
      </c>
      <c r="G12" s="64" t="s">
        <v>97</v>
      </c>
      <c r="H12" s="64" t="s">
        <v>144</v>
      </c>
      <c r="I12" s="66" t="s">
        <v>197</v>
      </c>
      <c r="J12" s="64" t="s">
        <v>145</v>
      </c>
      <c r="K12" s="71">
        <v>56</v>
      </c>
      <c r="L12" s="71">
        <v>166</v>
      </c>
      <c r="M12" s="37">
        <f>IF(ISBLANK(K12),,((K12-L12*2)+1000)/9)</f>
        <v>80.444444444444443</v>
      </c>
    </row>
    <row r="13" spans="1:30" s="35" customFormat="1" ht="118.5" customHeight="1" thickBot="1">
      <c r="A13" s="34">
        <v>63</v>
      </c>
      <c r="B13" s="68">
        <v>43087</v>
      </c>
      <c r="C13" s="62">
        <v>43130</v>
      </c>
      <c r="D13" s="63">
        <v>1</v>
      </c>
      <c r="E13" s="64" t="s">
        <v>287</v>
      </c>
      <c r="F13" s="65" t="s">
        <v>215</v>
      </c>
      <c r="G13" s="64" t="s">
        <v>217</v>
      </c>
      <c r="H13" s="64" t="s">
        <v>288</v>
      </c>
      <c r="I13" s="72" t="s">
        <v>221</v>
      </c>
      <c r="J13" s="74" t="s">
        <v>307</v>
      </c>
      <c r="K13" s="71">
        <v>3213</v>
      </c>
      <c r="L13" s="71">
        <v>100</v>
      </c>
      <c r="M13" s="37">
        <f>IF(ISBLANK(K13),,((K13-L13*2)+1000)/9)</f>
        <v>445.88888888888891</v>
      </c>
    </row>
    <row r="14" spans="1:30" s="35" customFormat="1" ht="118.5" customHeight="1" thickBot="1">
      <c r="A14" s="34">
        <v>64</v>
      </c>
      <c r="B14" s="68">
        <v>43087</v>
      </c>
      <c r="C14" s="62">
        <v>43130</v>
      </c>
      <c r="D14" s="63">
        <v>15</v>
      </c>
      <c r="E14" s="64" t="s">
        <v>222</v>
      </c>
      <c r="F14" s="65" t="s">
        <v>216</v>
      </c>
      <c r="G14" s="64" t="s">
        <v>217</v>
      </c>
      <c r="H14" s="64" t="s">
        <v>218</v>
      </c>
      <c r="I14" s="72" t="s">
        <v>233</v>
      </c>
      <c r="J14" s="75" t="s">
        <v>262</v>
      </c>
      <c r="K14" s="71">
        <v>905</v>
      </c>
      <c r="L14" s="71">
        <v>103</v>
      </c>
      <c r="M14" s="37">
        <f>IF(ISBLANK(K14),,((K14-L14*2)+1000)/9)</f>
        <v>188.77777777777777</v>
      </c>
    </row>
    <row r="15" spans="1:30" s="35" customFormat="1" ht="118.5" customHeight="1" thickBot="1">
      <c r="A15" s="34">
        <v>46</v>
      </c>
      <c r="B15" s="68">
        <v>43072</v>
      </c>
      <c r="C15" s="62">
        <v>43130</v>
      </c>
      <c r="D15" s="63">
        <v>167</v>
      </c>
      <c r="E15" s="64" t="s">
        <v>32</v>
      </c>
      <c r="F15" s="65" t="s">
        <v>96</v>
      </c>
      <c r="G15" s="64" t="s">
        <v>97</v>
      </c>
      <c r="H15" s="64" t="s">
        <v>10</v>
      </c>
      <c r="I15" s="66" t="s">
        <v>98</v>
      </c>
      <c r="J15" s="64" t="s">
        <v>99</v>
      </c>
      <c r="K15" s="71">
        <v>245</v>
      </c>
      <c r="L15" s="71">
        <v>114</v>
      </c>
      <c r="M15" s="37">
        <f>IF(ISBLANK(K15),,((K15-L15*2)+1000)/9)</f>
        <v>113</v>
      </c>
    </row>
    <row r="16" spans="1:30" s="35" customFormat="1" ht="118.5" customHeight="1" thickBot="1">
      <c r="A16" s="34">
        <v>28</v>
      </c>
      <c r="B16" s="68">
        <v>43051</v>
      </c>
      <c r="C16" s="68">
        <v>43137</v>
      </c>
      <c r="D16" s="63">
        <v>26</v>
      </c>
      <c r="E16" s="64" t="s">
        <v>32</v>
      </c>
      <c r="F16" s="65" t="s">
        <v>39</v>
      </c>
      <c r="G16" s="64" t="s">
        <v>12</v>
      </c>
      <c r="H16" s="64" t="s">
        <v>13</v>
      </c>
      <c r="I16" s="66" t="s">
        <v>195</v>
      </c>
      <c r="J16" s="64" t="s">
        <v>40</v>
      </c>
      <c r="K16" s="71">
        <v>261</v>
      </c>
      <c r="L16" s="71">
        <v>912</v>
      </c>
      <c r="M16" s="37">
        <f>IF(ISBLANK(K16),,((K16-L16*2)+1000)/9)</f>
        <v>-62.555555555555557</v>
      </c>
    </row>
    <row r="17" spans="1:26" s="35" customFormat="1" ht="118.5" customHeight="1" thickBot="1">
      <c r="A17" s="34">
        <v>31</v>
      </c>
      <c r="B17" s="68">
        <v>43051</v>
      </c>
      <c r="C17" s="68">
        <v>43051</v>
      </c>
      <c r="D17" s="63">
        <v>88</v>
      </c>
      <c r="E17" s="64" t="s">
        <v>32</v>
      </c>
      <c r="F17" s="65" t="s">
        <v>80</v>
      </c>
      <c r="G17" s="64" t="s">
        <v>12</v>
      </c>
      <c r="H17" s="64" t="s">
        <v>13</v>
      </c>
      <c r="I17" s="66" t="s">
        <v>81</v>
      </c>
      <c r="J17" s="64" t="s">
        <v>82</v>
      </c>
      <c r="K17" s="71">
        <v>196</v>
      </c>
      <c r="L17" s="71">
        <v>793</v>
      </c>
      <c r="M17" s="37">
        <f>IF(ISBLANK(K17),,((K17-L17*2)+1000)/9)</f>
        <v>-43.333333333333336</v>
      </c>
      <c r="R17" s="53"/>
      <c r="S17" s="53"/>
      <c r="T17" s="53"/>
      <c r="U17" s="53"/>
      <c r="V17" s="53"/>
      <c r="W17" s="53"/>
      <c r="X17" s="53"/>
      <c r="Y17" s="53"/>
      <c r="Z17" s="53"/>
    </row>
    <row r="18" spans="1:26" s="35" customFormat="1" ht="118.5" customHeight="1" thickBot="1">
      <c r="A18" s="34">
        <v>4</v>
      </c>
      <c r="B18" s="68">
        <v>43036</v>
      </c>
      <c r="C18" s="68">
        <v>43137</v>
      </c>
      <c r="D18" s="63">
        <v>162</v>
      </c>
      <c r="E18" s="64" t="s">
        <v>14</v>
      </c>
      <c r="F18" s="65" t="s">
        <v>93</v>
      </c>
      <c r="G18" s="64" t="s">
        <v>12</v>
      </c>
      <c r="H18" s="64" t="s">
        <v>13</v>
      </c>
      <c r="I18" s="66" t="s">
        <v>94</v>
      </c>
      <c r="J18" s="64" t="s">
        <v>95</v>
      </c>
      <c r="K18" s="71">
        <v>202</v>
      </c>
      <c r="L18" s="71">
        <v>447</v>
      </c>
      <c r="M18" s="37">
        <f>IF(ISBLANK(K18),,((K18-L18*2)+1000)/9)</f>
        <v>34.222222222222221</v>
      </c>
    </row>
    <row r="19" spans="1:26" s="35" customFormat="1" ht="118.5" customHeight="1" thickBot="1">
      <c r="A19" s="34">
        <v>14</v>
      </c>
      <c r="B19" s="68">
        <v>43042</v>
      </c>
      <c r="C19" s="68">
        <v>43082</v>
      </c>
      <c r="D19" s="63">
        <v>215</v>
      </c>
      <c r="E19" s="64" t="s">
        <v>14</v>
      </c>
      <c r="F19" s="65" t="s">
        <v>110</v>
      </c>
      <c r="G19" s="64" t="s">
        <v>12</v>
      </c>
      <c r="H19" s="64" t="s">
        <v>13</v>
      </c>
      <c r="I19" s="66" t="s">
        <v>111</v>
      </c>
      <c r="J19" s="64" t="s">
        <v>112</v>
      </c>
      <c r="K19" s="71">
        <v>544</v>
      </c>
      <c r="L19" s="71">
        <v>56</v>
      </c>
      <c r="M19" s="37">
        <f>IF(ISBLANK(K19),,((K19-L19*2)+1000)/9)</f>
        <v>159.11111111111111</v>
      </c>
      <c r="N19" s="36"/>
    </row>
    <row r="20" spans="1:26" s="35" customFormat="1" ht="118.5" customHeight="1" thickBot="1">
      <c r="A20" s="34">
        <v>86</v>
      </c>
      <c r="B20" s="62">
        <v>43137</v>
      </c>
      <c r="C20" s="62">
        <v>43137</v>
      </c>
      <c r="D20" s="63">
        <v>217</v>
      </c>
      <c r="E20" s="64" t="s">
        <v>32</v>
      </c>
      <c r="F20" s="65" t="s">
        <v>318</v>
      </c>
      <c r="G20" s="64" t="s">
        <v>12</v>
      </c>
      <c r="H20" s="64" t="s">
        <v>13</v>
      </c>
      <c r="I20" s="66" t="s">
        <v>319</v>
      </c>
      <c r="J20" s="64" t="s">
        <v>320</v>
      </c>
      <c r="K20" s="67">
        <v>111</v>
      </c>
      <c r="L20" s="67">
        <v>208</v>
      </c>
      <c r="M20" s="49">
        <f>IF(ISBLANK(K20),,((K20-L20*2)+1000)/9)</f>
        <v>77.222222222222229</v>
      </c>
    </row>
    <row r="21" spans="1:26" s="35" customFormat="1" ht="118.5" customHeight="1" thickBot="1">
      <c r="A21" s="34">
        <v>87</v>
      </c>
      <c r="B21" s="62">
        <v>43137</v>
      </c>
      <c r="C21" s="62">
        <v>43137</v>
      </c>
      <c r="D21" s="63">
        <v>219</v>
      </c>
      <c r="E21" s="64" t="s">
        <v>32</v>
      </c>
      <c r="F21" s="65" t="s">
        <v>321</v>
      </c>
      <c r="G21" s="64" t="s">
        <v>12</v>
      </c>
      <c r="H21" s="64" t="s">
        <v>13</v>
      </c>
      <c r="I21" s="66" t="s">
        <v>322</v>
      </c>
      <c r="J21" s="64" t="s">
        <v>323</v>
      </c>
      <c r="K21" s="67">
        <v>155</v>
      </c>
      <c r="L21" s="67">
        <v>173</v>
      </c>
      <c r="M21" s="49">
        <f>IF(ISBLANK(K21),,((K21-L21*2)+1000)/9)</f>
        <v>89.888888888888886</v>
      </c>
    </row>
    <row r="22" spans="1:26" s="35" customFormat="1" ht="118.5" customHeight="1" thickBot="1">
      <c r="A22" s="34">
        <v>83</v>
      </c>
      <c r="B22" s="62">
        <v>43136</v>
      </c>
      <c r="C22" s="62">
        <v>43136</v>
      </c>
      <c r="D22" s="63">
        <v>283</v>
      </c>
      <c r="E22" s="64" t="s">
        <v>32</v>
      </c>
      <c r="F22" s="65" t="s">
        <v>273</v>
      </c>
      <c r="G22" s="64" t="s">
        <v>12</v>
      </c>
      <c r="H22" s="64" t="s">
        <v>13</v>
      </c>
      <c r="I22" s="66" t="s">
        <v>274</v>
      </c>
      <c r="J22" s="64" t="s">
        <v>275</v>
      </c>
      <c r="K22" s="67">
        <v>621</v>
      </c>
      <c r="L22" s="67">
        <v>30</v>
      </c>
      <c r="M22" s="49">
        <f>IF(ISBLANK(K22),,((K22-L22*2)+1000)/9)</f>
        <v>173.44444444444446</v>
      </c>
    </row>
    <row r="23" spans="1:26" s="35" customFormat="1" ht="118.5" customHeight="1" thickBot="1">
      <c r="A23" s="34">
        <v>15</v>
      </c>
      <c r="B23" s="68">
        <v>43042</v>
      </c>
      <c r="C23" s="68">
        <v>43130</v>
      </c>
      <c r="D23" s="63">
        <v>349</v>
      </c>
      <c r="E23" s="64" t="s">
        <v>32</v>
      </c>
      <c r="F23" s="65" t="s">
        <v>135</v>
      </c>
      <c r="G23" s="64" t="s">
        <v>12</v>
      </c>
      <c r="H23" s="64" t="s">
        <v>13</v>
      </c>
      <c r="I23" s="66" t="s">
        <v>136</v>
      </c>
      <c r="J23" s="64" t="s">
        <v>137</v>
      </c>
      <c r="K23" s="71"/>
      <c r="L23" s="71"/>
      <c r="M23" s="37">
        <f>IF(ISBLANK(K23),,((K23-L23*2)+1000)/9)</f>
        <v>0</v>
      </c>
    </row>
    <row r="24" spans="1:26" s="35" customFormat="1" ht="118.5" customHeight="1" thickBot="1">
      <c r="A24" s="34">
        <v>81</v>
      </c>
      <c r="B24" s="68">
        <v>43130</v>
      </c>
      <c r="C24" s="68">
        <v>43130</v>
      </c>
      <c r="D24" s="63">
        <v>350</v>
      </c>
      <c r="E24" s="64" t="s">
        <v>32</v>
      </c>
      <c r="F24" s="65" t="s">
        <v>258</v>
      </c>
      <c r="G24" s="64" t="s">
        <v>12</v>
      </c>
      <c r="H24" s="64" t="s">
        <v>13</v>
      </c>
      <c r="I24" s="66" t="s">
        <v>259</v>
      </c>
      <c r="J24" s="64" t="s">
        <v>260</v>
      </c>
      <c r="K24" s="71">
        <v>159</v>
      </c>
      <c r="L24" s="71">
        <v>77</v>
      </c>
      <c r="M24" s="37">
        <f>IF(ISBLANK(K24),,((K24-L24*2)+1000)/9)</f>
        <v>111.66666666666667</v>
      </c>
    </row>
    <row r="25" spans="1:26" s="35" customFormat="1" ht="118.5" customHeight="1" thickBot="1">
      <c r="A25" s="34">
        <v>16</v>
      </c>
      <c r="B25" s="68">
        <v>43042</v>
      </c>
      <c r="C25" s="68">
        <v>43082</v>
      </c>
      <c r="D25" s="63">
        <v>442</v>
      </c>
      <c r="E25" s="64" t="s">
        <v>14</v>
      </c>
      <c r="F25" s="65" t="s">
        <v>248</v>
      </c>
      <c r="G25" s="64" t="s">
        <v>12</v>
      </c>
      <c r="H25" s="64" t="s">
        <v>13</v>
      </c>
      <c r="I25" s="66" t="s">
        <v>311</v>
      </c>
      <c r="J25" s="64" t="s">
        <v>312</v>
      </c>
      <c r="K25" s="71">
        <v>325</v>
      </c>
      <c r="L25" s="71">
        <v>40</v>
      </c>
      <c r="M25" s="37">
        <f>IF(ISBLANK(K25),,((K25-L25*2)+1000)/9)</f>
        <v>138.33333333333334</v>
      </c>
    </row>
    <row r="26" spans="1:26" s="35" customFormat="1" ht="118.5" customHeight="1" thickBot="1">
      <c r="A26" s="34">
        <v>44</v>
      </c>
      <c r="B26" s="68">
        <v>43064</v>
      </c>
      <c r="C26" s="68">
        <v>43082</v>
      </c>
      <c r="D26" s="63">
        <v>448</v>
      </c>
      <c r="E26" s="64" t="s">
        <v>32</v>
      </c>
      <c r="F26" s="65" t="s">
        <v>167</v>
      </c>
      <c r="G26" s="64" t="s">
        <v>12</v>
      </c>
      <c r="H26" s="64" t="s">
        <v>13</v>
      </c>
      <c r="I26" s="66" t="s">
        <v>146</v>
      </c>
      <c r="J26" s="64" t="s">
        <v>147</v>
      </c>
      <c r="K26" s="71">
        <v>434</v>
      </c>
      <c r="L26" s="71">
        <v>48</v>
      </c>
      <c r="M26" s="37">
        <f>IF(ISBLANK(K26),,((K26-L26*2)+1000)/9)</f>
        <v>148.66666666666666</v>
      </c>
      <c r="R26" s="52"/>
      <c r="S26" s="52"/>
      <c r="T26" s="52"/>
      <c r="U26" s="52"/>
      <c r="V26" s="52"/>
      <c r="W26" s="52"/>
      <c r="X26" s="52"/>
      <c r="Y26" s="52"/>
      <c r="Z26" s="52"/>
    </row>
    <row r="27" spans="1:26" s="35" customFormat="1" ht="118.5" customHeight="1" thickBot="1">
      <c r="A27" s="34">
        <v>6</v>
      </c>
      <c r="B27" s="68">
        <v>43036</v>
      </c>
      <c r="C27" s="68">
        <v>43036</v>
      </c>
      <c r="D27" s="63">
        <v>54</v>
      </c>
      <c r="E27" s="64" t="s">
        <v>14</v>
      </c>
      <c r="F27" s="65" t="s">
        <v>52</v>
      </c>
      <c r="G27" s="64" t="s">
        <v>161</v>
      </c>
      <c r="H27" s="64" t="s">
        <v>16</v>
      </c>
      <c r="I27" s="66" t="s">
        <v>53</v>
      </c>
      <c r="J27" s="64"/>
      <c r="K27" s="71">
        <v>255</v>
      </c>
      <c r="L27" s="71">
        <v>128</v>
      </c>
      <c r="M27" s="37">
        <f>IF(ISBLANK(K27),,((K27-L27*2)+1000)/9)</f>
        <v>111</v>
      </c>
    </row>
    <row r="28" spans="1:26" s="35" customFormat="1" ht="118.5" customHeight="1" thickBot="1">
      <c r="A28" s="34">
        <v>5</v>
      </c>
      <c r="B28" s="68">
        <v>43036</v>
      </c>
      <c r="C28" s="68">
        <v>43036</v>
      </c>
      <c r="D28" s="63">
        <v>59</v>
      </c>
      <c r="E28" s="64" t="s">
        <v>14</v>
      </c>
      <c r="F28" s="65" t="s">
        <v>57</v>
      </c>
      <c r="G28" s="64" t="s">
        <v>161</v>
      </c>
      <c r="H28" s="64" t="s">
        <v>16</v>
      </c>
      <c r="I28" s="66" t="s">
        <v>58</v>
      </c>
      <c r="J28" s="64" t="s">
        <v>59</v>
      </c>
      <c r="K28" s="71">
        <v>120</v>
      </c>
      <c r="L28" s="71">
        <v>29</v>
      </c>
      <c r="M28" s="37">
        <f>IF(ISBLANK(K28),,((K28-L28*2)+1000)/9)</f>
        <v>118</v>
      </c>
    </row>
    <row r="29" spans="1:26" s="35" customFormat="1" ht="118.5" customHeight="1" thickBot="1">
      <c r="A29" s="34">
        <v>48</v>
      </c>
      <c r="B29" s="68">
        <v>43074</v>
      </c>
      <c r="C29" s="68">
        <v>43082</v>
      </c>
      <c r="D29" s="63">
        <v>73</v>
      </c>
      <c r="E29" s="64" t="s">
        <v>14</v>
      </c>
      <c r="F29" s="65" t="s">
        <v>73</v>
      </c>
      <c r="G29" s="64" t="s">
        <v>12</v>
      </c>
      <c r="H29" s="64" t="s">
        <v>16</v>
      </c>
      <c r="I29" s="66" t="s">
        <v>74</v>
      </c>
      <c r="J29" s="64" t="s">
        <v>75</v>
      </c>
      <c r="K29" s="71">
        <v>218</v>
      </c>
      <c r="L29" s="71">
        <v>65</v>
      </c>
      <c r="M29" s="37">
        <f>IF(ISBLANK(K29),,((K29-L29*2)+1000)/9)</f>
        <v>120.88888888888889</v>
      </c>
    </row>
    <row r="30" spans="1:26" s="35" customFormat="1" ht="118.5" customHeight="1" thickBot="1">
      <c r="A30" s="34">
        <v>41</v>
      </c>
      <c r="B30" s="68">
        <v>43062</v>
      </c>
      <c r="C30" s="68">
        <v>43062</v>
      </c>
      <c r="D30" s="63">
        <v>17</v>
      </c>
      <c r="E30" s="64" t="s">
        <v>14</v>
      </c>
      <c r="F30" s="70" t="s">
        <v>28</v>
      </c>
      <c r="G30" s="64" t="s">
        <v>21</v>
      </c>
      <c r="H30" s="64" t="s">
        <v>29</v>
      </c>
      <c r="I30" s="66" t="s">
        <v>30</v>
      </c>
      <c r="J30" s="64" t="s">
        <v>31</v>
      </c>
      <c r="K30" s="71">
        <v>480</v>
      </c>
      <c r="L30" s="71">
        <v>59</v>
      </c>
      <c r="M30" s="37">
        <f>IF(ISBLANK(K30),,((K30-L30*2)+1000)/9)</f>
        <v>151.33333333333334</v>
      </c>
    </row>
    <row r="31" spans="1:26" s="35" customFormat="1" ht="118.5" customHeight="1" thickBot="1">
      <c r="A31" s="34">
        <v>71</v>
      </c>
      <c r="B31" s="68">
        <v>43085</v>
      </c>
      <c r="C31" s="68">
        <v>43085</v>
      </c>
      <c r="D31" s="63">
        <v>22</v>
      </c>
      <c r="E31" s="64" t="s">
        <v>14</v>
      </c>
      <c r="F31" s="65" t="s">
        <v>224</v>
      </c>
      <c r="G31" s="64" t="s">
        <v>21</v>
      </c>
      <c r="H31" s="64" t="s">
        <v>29</v>
      </c>
      <c r="I31" s="66" t="s">
        <v>225</v>
      </c>
      <c r="J31" s="64" t="s">
        <v>226</v>
      </c>
      <c r="K31" s="71">
        <v>614</v>
      </c>
      <c r="L31" s="71">
        <v>41</v>
      </c>
      <c r="M31" s="37">
        <f>IF(ISBLANK(K31),,((K31-L31*2)+1000)/9)</f>
        <v>170.22222222222223</v>
      </c>
    </row>
    <row r="32" spans="1:26" s="35" customFormat="1" ht="118.5" customHeight="1" thickBot="1">
      <c r="A32" s="34">
        <v>11</v>
      </c>
      <c r="B32" s="68">
        <v>43038</v>
      </c>
      <c r="C32" s="68">
        <v>43038</v>
      </c>
      <c r="D32" s="63">
        <v>77</v>
      </c>
      <c r="E32" s="64" t="s">
        <v>14</v>
      </c>
      <c r="F32" s="70" t="s">
        <v>18</v>
      </c>
      <c r="G32" s="64" t="s">
        <v>21</v>
      </c>
      <c r="H32" s="64" t="s">
        <v>162</v>
      </c>
      <c r="I32" s="66" t="s">
        <v>76</v>
      </c>
      <c r="J32" s="64" t="s">
        <v>77</v>
      </c>
      <c r="K32" s="71">
        <v>254</v>
      </c>
      <c r="L32" s="71">
        <v>18</v>
      </c>
      <c r="M32" s="37">
        <f>IF(ISBLANK(K32),,((K32-L32*2)+1000)/9)</f>
        <v>135.33333333333334</v>
      </c>
    </row>
    <row r="33" spans="1:30" s="35" customFormat="1" ht="118.5" customHeight="1" thickBot="1">
      <c r="A33" s="34">
        <v>9</v>
      </c>
      <c r="B33" s="68">
        <v>43038</v>
      </c>
      <c r="C33" s="68">
        <v>43131</v>
      </c>
      <c r="D33" s="63">
        <v>46</v>
      </c>
      <c r="E33" s="64" t="s">
        <v>14</v>
      </c>
      <c r="F33" s="70" t="s">
        <v>270</v>
      </c>
      <c r="G33" s="64" t="s">
        <v>21</v>
      </c>
      <c r="H33" s="64" t="s">
        <v>159</v>
      </c>
      <c r="I33" s="72" t="s">
        <v>268</v>
      </c>
      <c r="J33" s="64" t="s">
        <v>304</v>
      </c>
      <c r="K33" s="71">
        <v>525</v>
      </c>
      <c r="L33" s="71">
        <v>17</v>
      </c>
      <c r="M33" s="37">
        <f>IF(ISBLANK(K33),,((K33-L33*2)+1000)/9)</f>
        <v>165.66666666666666</v>
      </c>
    </row>
    <row r="34" spans="1:30" s="35" customFormat="1" ht="118.5" customHeight="1" thickBot="1">
      <c r="A34" s="34">
        <v>10</v>
      </c>
      <c r="B34" s="68">
        <v>43038</v>
      </c>
      <c r="C34" s="68">
        <v>43131</v>
      </c>
      <c r="D34" s="63">
        <v>47</v>
      </c>
      <c r="E34" s="64" t="s">
        <v>14</v>
      </c>
      <c r="F34" s="70" t="s">
        <v>22</v>
      </c>
      <c r="G34" s="64" t="s">
        <v>21</v>
      </c>
      <c r="H34" s="64" t="s">
        <v>159</v>
      </c>
      <c r="I34" s="72" t="s">
        <v>269</v>
      </c>
      <c r="J34" s="64" t="s">
        <v>305</v>
      </c>
      <c r="K34" s="71">
        <v>288</v>
      </c>
      <c r="L34" s="71">
        <v>14</v>
      </c>
      <c r="M34" s="37">
        <f>IF(ISBLANK(K34),,((K34-L34*2)+1000)/9)</f>
        <v>140</v>
      </c>
      <c r="R34" s="50"/>
      <c r="S34" s="50"/>
      <c r="T34" s="50"/>
      <c r="U34" s="50"/>
      <c r="V34" s="50"/>
      <c r="W34" s="50"/>
      <c r="X34" s="50"/>
      <c r="Y34" s="50"/>
      <c r="Z34" s="50"/>
    </row>
    <row r="35" spans="1:30" s="35" customFormat="1" ht="118.5" customHeight="1" thickBot="1">
      <c r="A35" s="34">
        <v>7</v>
      </c>
      <c r="B35" s="68">
        <v>43037</v>
      </c>
      <c r="C35" s="68">
        <v>43037</v>
      </c>
      <c r="D35" s="63">
        <v>78</v>
      </c>
      <c r="E35" s="64" t="s">
        <v>14</v>
      </c>
      <c r="F35" s="70" t="s">
        <v>78</v>
      </c>
      <c r="G35" s="64" t="s">
        <v>21</v>
      </c>
      <c r="H35" s="64" t="s">
        <v>160</v>
      </c>
      <c r="I35" s="66" t="s">
        <v>50</v>
      </c>
      <c r="J35" s="64" t="s">
        <v>79</v>
      </c>
      <c r="K35" s="71">
        <v>521</v>
      </c>
      <c r="L35" s="71">
        <v>17</v>
      </c>
      <c r="M35" s="37">
        <f>IF(ISBLANK(K35),,((K35-L35*2)+1000)/9)</f>
        <v>165.22222222222223</v>
      </c>
    </row>
    <row r="36" spans="1:30" s="35" customFormat="1" ht="118.5" customHeight="1" thickBot="1">
      <c r="A36" s="34">
        <v>8</v>
      </c>
      <c r="B36" s="68">
        <v>43037</v>
      </c>
      <c r="C36" s="68">
        <v>43037</v>
      </c>
      <c r="D36" s="63">
        <v>90</v>
      </c>
      <c r="E36" s="64" t="s">
        <v>14</v>
      </c>
      <c r="F36" s="70" t="s">
        <v>23</v>
      </c>
      <c r="G36" s="64" t="s">
        <v>21</v>
      </c>
      <c r="H36" s="64" t="s">
        <v>160</v>
      </c>
      <c r="I36" s="66" t="s">
        <v>51</v>
      </c>
      <c r="J36" s="64"/>
      <c r="K36" s="71">
        <v>257</v>
      </c>
      <c r="L36" s="71">
        <v>11</v>
      </c>
      <c r="M36" s="37">
        <f>IF(ISBLANK(K36),,((K36-L36*2)+1000)/9)</f>
        <v>137.22222222222223</v>
      </c>
      <c r="AA36" s="52"/>
      <c r="AB36" s="52"/>
      <c r="AC36" s="52"/>
      <c r="AD36" s="52"/>
    </row>
    <row r="37" spans="1:30" s="35" customFormat="1" ht="118.5" customHeight="1" thickBot="1">
      <c r="A37" s="34">
        <v>45</v>
      </c>
      <c r="B37" s="68">
        <v>43072</v>
      </c>
      <c r="C37" s="68">
        <v>43072</v>
      </c>
      <c r="D37" s="63">
        <v>31</v>
      </c>
      <c r="E37" s="64" t="s">
        <v>14</v>
      </c>
      <c r="F37" s="70" t="s">
        <v>44</v>
      </c>
      <c r="G37" s="64" t="s">
        <v>45</v>
      </c>
      <c r="H37" s="64" t="s">
        <v>46</v>
      </c>
      <c r="I37" s="66"/>
      <c r="J37" s="64"/>
      <c r="K37" s="71">
        <v>454</v>
      </c>
      <c r="L37" s="71">
        <v>114</v>
      </c>
      <c r="M37" s="37">
        <f>IF(ISBLANK(K37),,((K37-L37*2)+1000)/9)</f>
        <v>136.22222222222223</v>
      </c>
    </row>
    <row r="38" spans="1:30" s="35" customFormat="1" ht="118.5" customHeight="1" thickBot="1">
      <c r="A38" s="34">
        <v>2</v>
      </c>
      <c r="B38" s="68">
        <v>43030</v>
      </c>
      <c r="C38" s="68">
        <v>43082</v>
      </c>
      <c r="D38" s="63">
        <v>225</v>
      </c>
      <c r="E38" s="64" t="s">
        <v>32</v>
      </c>
      <c r="F38" s="65" t="s">
        <v>113</v>
      </c>
      <c r="G38" s="64" t="s">
        <v>114</v>
      </c>
      <c r="H38" s="64" t="s">
        <v>164</v>
      </c>
      <c r="I38" s="66" t="s">
        <v>194</v>
      </c>
      <c r="J38" s="64" t="s">
        <v>169</v>
      </c>
      <c r="K38" s="71">
        <v>73</v>
      </c>
      <c r="L38" s="71">
        <v>136</v>
      </c>
      <c r="M38" s="37">
        <f>IF(ISBLANK(K38),,((K38-L38*2)+1000)/9)</f>
        <v>89</v>
      </c>
    </row>
    <row r="39" spans="1:30" s="35" customFormat="1" ht="118.5" customHeight="1" thickBot="1">
      <c r="A39" s="34">
        <v>1</v>
      </c>
      <c r="B39" s="68">
        <v>43029</v>
      </c>
      <c r="C39" s="68">
        <v>43082</v>
      </c>
      <c r="D39" s="63">
        <v>232</v>
      </c>
      <c r="E39" s="64" t="s">
        <v>32</v>
      </c>
      <c r="F39" s="65" t="s">
        <v>118</v>
      </c>
      <c r="G39" s="64" t="s">
        <v>114</v>
      </c>
      <c r="H39" s="64" t="s">
        <v>164</v>
      </c>
      <c r="I39" s="66" t="s">
        <v>192</v>
      </c>
      <c r="J39" s="64" t="s">
        <v>193</v>
      </c>
      <c r="K39" s="71">
        <v>124</v>
      </c>
      <c r="L39" s="71">
        <v>54</v>
      </c>
      <c r="M39" s="37">
        <f>IF(ISBLANK(K39),,((K39-L39*2)+1000)/9)</f>
        <v>112.88888888888889</v>
      </c>
      <c r="P39" s="52"/>
      <c r="Q39" s="52"/>
    </row>
    <row r="40" spans="1:30" s="35" customFormat="1" ht="118.5" customHeight="1" thickBot="1">
      <c r="A40" s="34">
        <v>59</v>
      </c>
      <c r="B40" s="68">
        <v>43084</v>
      </c>
      <c r="C40" s="68"/>
      <c r="D40" s="63">
        <v>322</v>
      </c>
      <c r="E40" s="64" t="s">
        <v>14</v>
      </c>
      <c r="F40" s="65" t="s">
        <v>181</v>
      </c>
      <c r="G40" s="64" t="s">
        <v>24</v>
      </c>
      <c r="H40" s="64" t="s">
        <v>180</v>
      </c>
      <c r="I40" s="66" t="s">
        <v>182</v>
      </c>
      <c r="J40" s="64"/>
      <c r="K40" s="71">
        <v>280</v>
      </c>
      <c r="L40" s="71">
        <v>20</v>
      </c>
      <c r="M40" s="37">
        <f>IF(ISBLANK(K40),,((K40-L40*2)+1000)/9)</f>
        <v>137.77777777777777</v>
      </c>
    </row>
    <row r="41" spans="1:30" s="35" customFormat="1" ht="118.5" customHeight="1" thickBot="1">
      <c r="A41" s="34">
        <v>49</v>
      </c>
      <c r="B41" s="68">
        <v>43082</v>
      </c>
      <c r="C41" s="68">
        <v>43082</v>
      </c>
      <c r="D41" s="63">
        <v>53</v>
      </c>
      <c r="E41" s="64" t="s">
        <v>32</v>
      </c>
      <c r="F41" s="65" t="s">
        <v>67</v>
      </c>
      <c r="G41" s="64" t="s">
        <v>24</v>
      </c>
      <c r="H41" s="64" t="s">
        <v>61</v>
      </c>
      <c r="I41" s="66" t="s">
        <v>68</v>
      </c>
      <c r="J41" s="64"/>
      <c r="K41" s="71">
        <v>1030</v>
      </c>
      <c r="L41" s="71">
        <v>34</v>
      </c>
      <c r="M41" s="37">
        <f>IF(ISBLANK(K41),,((K41-L41*2)+1000)/9)</f>
        <v>218</v>
      </c>
    </row>
    <row r="42" spans="1:30" s="35" customFormat="1" ht="118.5" customHeight="1" thickBot="1">
      <c r="A42" s="34">
        <v>34</v>
      </c>
      <c r="B42" s="68">
        <v>43052</v>
      </c>
      <c r="C42" s="68">
        <v>43052</v>
      </c>
      <c r="D42" s="63">
        <v>62</v>
      </c>
      <c r="E42" s="64" t="s">
        <v>14</v>
      </c>
      <c r="F42" s="65" t="s">
        <v>60</v>
      </c>
      <c r="G42" s="64" t="s">
        <v>24</v>
      </c>
      <c r="H42" s="64" t="s">
        <v>61</v>
      </c>
      <c r="I42" s="66" t="s">
        <v>62</v>
      </c>
      <c r="J42" s="64" t="s">
        <v>63</v>
      </c>
      <c r="K42" s="71">
        <v>290</v>
      </c>
      <c r="L42" s="71">
        <v>17</v>
      </c>
      <c r="M42" s="37">
        <f>IF(ISBLANK(K42),,((K42-L42*2)+1000)/9)</f>
        <v>139.55555555555554</v>
      </c>
    </row>
    <row r="43" spans="1:30" s="35" customFormat="1" ht="118.5" customHeight="1" thickBot="1">
      <c r="A43" s="34">
        <v>35</v>
      </c>
      <c r="B43" s="68">
        <v>43052</v>
      </c>
      <c r="C43" s="68">
        <v>43052</v>
      </c>
      <c r="D43" s="63">
        <v>63</v>
      </c>
      <c r="E43" s="64" t="s">
        <v>14</v>
      </c>
      <c r="F43" s="65" t="s">
        <v>64</v>
      </c>
      <c r="G43" s="64" t="s">
        <v>24</v>
      </c>
      <c r="H43" s="64" t="s">
        <v>61</v>
      </c>
      <c r="I43" s="66" t="s">
        <v>65</v>
      </c>
      <c r="J43" s="64" t="s">
        <v>66</v>
      </c>
      <c r="K43" s="71">
        <v>134</v>
      </c>
      <c r="L43" s="71">
        <v>12</v>
      </c>
      <c r="M43" s="37">
        <f>IF(ISBLANK(K43),,((K43-L43*2)+1000)/9)</f>
        <v>123.33333333333333</v>
      </c>
      <c r="AA43" s="50"/>
      <c r="AB43" s="50"/>
      <c r="AC43" s="50"/>
      <c r="AD43" s="50"/>
    </row>
    <row r="44" spans="1:30" s="35" customFormat="1" ht="118.5" customHeight="1" thickBot="1">
      <c r="A44" s="34">
        <v>60</v>
      </c>
      <c r="B44" s="68">
        <v>43084</v>
      </c>
      <c r="C44" s="68"/>
      <c r="D44" s="63">
        <v>70</v>
      </c>
      <c r="E44" s="64" t="s">
        <v>32</v>
      </c>
      <c r="F44" s="65" t="s">
        <v>179</v>
      </c>
      <c r="G44" s="64" t="s">
        <v>24</v>
      </c>
      <c r="H44" s="64" t="s">
        <v>61</v>
      </c>
      <c r="I44" s="66" t="s">
        <v>183</v>
      </c>
      <c r="J44" s="64"/>
      <c r="K44" s="71">
        <v>486</v>
      </c>
      <c r="L44" s="71">
        <v>22</v>
      </c>
      <c r="M44" s="37">
        <f>IF(ISBLANK(K44),,((K44-L44*2)+1000)/9)</f>
        <v>160.22222222222223</v>
      </c>
    </row>
    <row r="45" spans="1:30" s="35" customFormat="1" ht="118.5" customHeight="1" thickBot="1">
      <c r="A45" s="34">
        <v>3</v>
      </c>
      <c r="B45" s="68">
        <v>43036</v>
      </c>
      <c r="C45" s="68">
        <v>43036</v>
      </c>
      <c r="D45" s="63">
        <v>120</v>
      </c>
      <c r="E45" s="64" t="s">
        <v>14</v>
      </c>
      <c r="F45" s="65" t="s">
        <v>11</v>
      </c>
      <c r="G45" s="64" t="s">
        <v>24</v>
      </c>
      <c r="H45" s="64" t="s">
        <v>61</v>
      </c>
      <c r="I45" s="66" t="s">
        <v>184</v>
      </c>
      <c r="J45" s="64" t="s">
        <v>86</v>
      </c>
      <c r="K45" s="71">
        <v>271</v>
      </c>
      <c r="L45" s="71">
        <v>2</v>
      </c>
      <c r="M45" s="37">
        <f>IF(ISBLANK(K45),,((K45-L45*2)+1000)/9)</f>
        <v>140.77777777777777</v>
      </c>
    </row>
    <row r="46" spans="1:30" s="35" customFormat="1" ht="118.5" customHeight="1" thickBot="1">
      <c r="A46" s="34">
        <v>61</v>
      </c>
      <c r="B46" s="68">
        <v>43087</v>
      </c>
      <c r="C46" s="64"/>
      <c r="D46" s="63">
        <v>198</v>
      </c>
      <c r="E46" s="64" t="s">
        <v>287</v>
      </c>
      <c r="F46" s="65" t="s">
        <v>212</v>
      </c>
      <c r="G46" s="64" t="s">
        <v>24</v>
      </c>
      <c r="H46" s="64" t="s">
        <v>299</v>
      </c>
      <c r="I46" s="72" t="s">
        <v>214</v>
      </c>
      <c r="J46" s="64"/>
      <c r="K46" s="71">
        <v>625</v>
      </c>
      <c r="L46" s="71">
        <v>18</v>
      </c>
      <c r="M46" s="37">
        <f>IF(ISBLANK(K46),,((K46-L46*2)+1000)/9)</f>
        <v>176.55555555555554</v>
      </c>
      <c r="O46" s="50"/>
      <c r="P46" s="50"/>
      <c r="Q46" s="50"/>
    </row>
    <row r="47" spans="1:30" s="35" customFormat="1" ht="118.5" customHeight="1" thickBot="1">
      <c r="A47" s="34">
        <v>62</v>
      </c>
      <c r="B47" s="68">
        <v>43087</v>
      </c>
      <c r="C47" s="64"/>
      <c r="D47" s="63">
        <v>213</v>
      </c>
      <c r="E47" s="64" t="s">
        <v>14</v>
      </c>
      <c r="F47" s="65" t="s">
        <v>213</v>
      </c>
      <c r="G47" s="64" t="s">
        <v>24</v>
      </c>
      <c r="H47" s="64" t="s">
        <v>300</v>
      </c>
      <c r="I47" s="66" t="s">
        <v>315</v>
      </c>
      <c r="J47" s="64"/>
      <c r="K47" s="71">
        <v>171</v>
      </c>
      <c r="L47" s="71">
        <v>5</v>
      </c>
      <c r="M47" s="37">
        <f>IF(ISBLANK(K47),,((K47-L47*2)+1000)/9)</f>
        <v>129</v>
      </c>
    </row>
    <row r="48" spans="1:30" s="35" customFormat="1" ht="118.5" customHeight="1" thickBot="1">
      <c r="A48" s="34">
        <v>33</v>
      </c>
      <c r="B48" s="68">
        <v>43051</v>
      </c>
      <c r="C48" s="68">
        <v>43051</v>
      </c>
      <c r="D48" s="63">
        <v>2</v>
      </c>
      <c r="E48" s="64" t="s">
        <v>177</v>
      </c>
      <c r="F48" s="65" t="s">
        <v>15</v>
      </c>
      <c r="G48" s="64" t="s">
        <v>17</v>
      </c>
      <c r="H48" s="64" t="s">
        <v>19</v>
      </c>
      <c r="I48" s="66" t="s">
        <v>20</v>
      </c>
      <c r="J48" s="66" t="s">
        <v>313</v>
      </c>
      <c r="K48" s="71">
        <v>1077</v>
      </c>
      <c r="L48" s="71">
        <v>386</v>
      </c>
      <c r="M48" s="37">
        <f>IF(ISBLANK(K48),,((K48-L48*2)+1000)/9)</f>
        <v>145</v>
      </c>
    </row>
    <row r="49" spans="1:30" s="53" customFormat="1" ht="118.5" customHeight="1" thickBot="1">
      <c r="A49" s="34">
        <v>58</v>
      </c>
      <c r="B49" s="68">
        <v>43084</v>
      </c>
      <c r="C49" s="68">
        <v>43084</v>
      </c>
      <c r="D49" s="63">
        <v>19</v>
      </c>
      <c r="E49" s="64" t="s">
        <v>14</v>
      </c>
      <c r="F49" s="65" t="s">
        <v>187</v>
      </c>
      <c r="G49" s="66" t="s">
        <v>17</v>
      </c>
      <c r="H49" s="66" t="s">
        <v>19</v>
      </c>
      <c r="I49" s="66" t="s">
        <v>191</v>
      </c>
      <c r="J49" s="66" t="s">
        <v>210</v>
      </c>
      <c r="K49" s="71">
        <v>367</v>
      </c>
      <c r="L49" s="71">
        <v>22</v>
      </c>
      <c r="M49" s="37">
        <f>IF(ISBLANK(K49),,((K49-L49*2)+1000)/9)</f>
        <v>147</v>
      </c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</row>
    <row r="50" spans="1:30" s="35" customFormat="1" ht="118.5" customHeight="1" thickBot="1">
      <c r="A50" s="34">
        <v>57</v>
      </c>
      <c r="B50" s="68">
        <v>43084</v>
      </c>
      <c r="C50" s="68">
        <v>43125</v>
      </c>
      <c r="D50" s="63">
        <v>21</v>
      </c>
      <c r="E50" s="64" t="s">
        <v>32</v>
      </c>
      <c r="F50" s="65" t="s">
        <v>185</v>
      </c>
      <c r="G50" s="66" t="s">
        <v>17</v>
      </c>
      <c r="H50" s="66" t="s">
        <v>19</v>
      </c>
      <c r="I50" s="66" t="s">
        <v>189</v>
      </c>
      <c r="J50" s="66" t="s">
        <v>309</v>
      </c>
      <c r="K50" s="71">
        <v>452</v>
      </c>
      <c r="L50" s="71">
        <v>102</v>
      </c>
      <c r="M50" s="37">
        <f>IF(ISBLANK(K50),,((K50-L50*2)+1000)/9)</f>
        <v>138.66666666666666</v>
      </c>
    </row>
    <row r="51" spans="1:30" s="35" customFormat="1" ht="118.5" customHeight="1" thickBot="1">
      <c r="A51" s="34">
        <v>56</v>
      </c>
      <c r="B51" s="68">
        <v>43084</v>
      </c>
      <c r="C51" s="68">
        <v>43125</v>
      </c>
      <c r="D51" s="63">
        <v>23</v>
      </c>
      <c r="E51" s="64" t="s">
        <v>188</v>
      </c>
      <c r="F51" s="65" t="s">
        <v>186</v>
      </c>
      <c r="G51" s="66" t="s">
        <v>17</v>
      </c>
      <c r="H51" s="66" t="s">
        <v>19</v>
      </c>
      <c r="I51" s="66" t="s">
        <v>190</v>
      </c>
      <c r="J51" s="66" t="s">
        <v>310</v>
      </c>
      <c r="K51" s="71">
        <v>526</v>
      </c>
      <c r="L51" s="71">
        <v>40</v>
      </c>
      <c r="M51" s="37">
        <f>IF(ISBLANK(K51),,((K51-L51*2)+1000)/9)</f>
        <v>160.66666666666666</v>
      </c>
    </row>
    <row r="52" spans="1:30" s="35" customFormat="1" ht="118.5" customHeight="1" thickBot="1">
      <c r="A52" s="34">
        <v>80</v>
      </c>
      <c r="B52" s="68">
        <v>43127</v>
      </c>
      <c r="C52" s="68">
        <v>43127</v>
      </c>
      <c r="D52" s="63">
        <v>92</v>
      </c>
      <c r="E52" s="64" t="s">
        <v>14</v>
      </c>
      <c r="F52" s="65" t="s">
        <v>255</v>
      </c>
      <c r="G52" s="64" t="s">
        <v>17</v>
      </c>
      <c r="H52" s="64" t="s">
        <v>19</v>
      </c>
      <c r="I52" s="66" t="s">
        <v>256</v>
      </c>
      <c r="J52" s="66" t="s">
        <v>257</v>
      </c>
      <c r="K52" s="71">
        <v>309</v>
      </c>
      <c r="L52" s="71">
        <v>30</v>
      </c>
      <c r="M52" s="37">
        <f>IF(ISBLANK(K52),,((K52-L52*2)+1000)/9)</f>
        <v>138.77777777777777</v>
      </c>
    </row>
    <row r="53" spans="1:30" s="35" customFormat="1" ht="118.5" customHeight="1" thickBot="1">
      <c r="A53" s="34">
        <v>78</v>
      </c>
      <c r="B53" s="62">
        <v>43127</v>
      </c>
      <c r="C53" s="62">
        <v>43127</v>
      </c>
      <c r="D53" s="63">
        <v>141</v>
      </c>
      <c r="E53" s="64" t="s">
        <v>32</v>
      </c>
      <c r="F53" s="65" t="s">
        <v>251</v>
      </c>
      <c r="G53" s="64" t="s">
        <v>17</v>
      </c>
      <c r="H53" s="64" t="s">
        <v>19</v>
      </c>
      <c r="I53" s="66" t="s">
        <v>252</v>
      </c>
      <c r="J53" s="64" t="s">
        <v>308</v>
      </c>
      <c r="K53" s="71">
        <v>454</v>
      </c>
      <c r="L53" s="71">
        <v>22</v>
      </c>
      <c r="M53" s="37">
        <f>IF(ISBLANK(K53),,((K53-L53*2)+1000)/9)</f>
        <v>156.66666666666666</v>
      </c>
    </row>
    <row r="54" spans="1:30" s="35" customFormat="1" ht="118.5" customHeight="1" thickBot="1">
      <c r="A54" s="34">
        <v>79</v>
      </c>
      <c r="B54" s="62">
        <v>43127</v>
      </c>
      <c r="C54" s="62">
        <v>43127</v>
      </c>
      <c r="D54" s="63">
        <v>142</v>
      </c>
      <c r="E54" s="64" t="s">
        <v>14</v>
      </c>
      <c r="F54" s="65" t="s">
        <v>250</v>
      </c>
      <c r="G54" s="64" t="s">
        <v>17</v>
      </c>
      <c r="H54" s="64" t="s">
        <v>19</v>
      </c>
      <c r="I54" s="66" t="s">
        <v>253</v>
      </c>
      <c r="J54" s="64" t="s">
        <v>254</v>
      </c>
      <c r="K54" s="71">
        <v>394</v>
      </c>
      <c r="L54" s="71">
        <v>23</v>
      </c>
      <c r="M54" s="37">
        <f>IF(ISBLANK(K54),,((K54-L54*2)+1000)/9)</f>
        <v>149.77777777777777</v>
      </c>
      <c r="AA54" s="53"/>
      <c r="AB54" s="53"/>
      <c r="AC54" s="53"/>
      <c r="AD54" s="53"/>
    </row>
    <row r="55" spans="1:30" s="35" customFormat="1" ht="118.5" customHeight="1" thickBot="1">
      <c r="A55" s="34">
        <v>77</v>
      </c>
      <c r="B55" s="68">
        <v>43125</v>
      </c>
      <c r="C55" s="68">
        <v>43125</v>
      </c>
      <c r="D55" s="63">
        <v>206</v>
      </c>
      <c r="E55" s="64" t="s">
        <v>32</v>
      </c>
      <c r="F55" s="65" t="s">
        <v>245</v>
      </c>
      <c r="G55" s="64" t="s">
        <v>17</v>
      </c>
      <c r="H55" s="64" t="s">
        <v>19</v>
      </c>
      <c r="I55" s="66" t="s">
        <v>246</v>
      </c>
      <c r="J55" s="66" t="s">
        <v>247</v>
      </c>
      <c r="K55" s="71">
        <v>620</v>
      </c>
      <c r="L55" s="71">
        <v>16</v>
      </c>
      <c r="M55" s="37">
        <f>IF(ISBLANK(K55),,((K55-L55*2)+1000)/9)</f>
        <v>176.44444444444446</v>
      </c>
    </row>
    <row r="56" spans="1:30" s="35" customFormat="1" ht="118.5" customHeight="1" thickBot="1">
      <c r="A56" s="34">
        <v>24</v>
      </c>
      <c r="B56" s="68">
        <v>43044</v>
      </c>
      <c r="C56" s="68">
        <v>43044</v>
      </c>
      <c r="D56" s="63">
        <v>136</v>
      </c>
      <c r="E56" s="64" t="s">
        <v>32</v>
      </c>
      <c r="F56" s="65" t="s">
        <v>87</v>
      </c>
      <c r="G56" s="64" t="s">
        <v>25</v>
      </c>
      <c r="H56" s="64" t="s">
        <v>26</v>
      </c>
      <c r="I56" s="66" t="s">
        <v>88</v>
      </c>
      <c r="J56" s="64" t="s">
        <v>89</v>
      </c>
      <c r="K56" s="71">
        <v>709</v>
      </c>
      <c r="L56" s="71">
        <v>19</v>
      </c>
      <c r="M56" s="37">
        <f>IF(ISBLANK(K56),,((K56-L56*2)+1000)/9)</f>
        <v>185.66666666666666</v>
      </c>
      <c r="N56" s="53"/>
    </row>
    <row r="57" spans="1:30" s="35" customFormat="1" ht="118.5" customHeight="1" thickBot="1">
      <c r="A57" s="34">
        <v>26</v>
      </c>
      <c r="B57" s="68">
        <v>43045</v>
      </c>
      <c r="C57" s="68">
        <v>43045</v>
      </c>
      <c r="D57" s="63">
        <v>137</v>
      </c>
      <c r="E57" s="64" t="s">
        <v>14</v>
      </c>
      <c r="F57" s="65" t="s">
        <v>90</v>
      </c>
      <c r="G57" s="64" t="s">
        <v>25</v>
      </c>
      <c r="H57" s="64" t="s">
        <v>26</v>
      </c>
      <c r="I57" s="66" t="s">
        <v>91</v>
      </c>
      <c r="J57" s="64" t="s">
        <v>92</v>
      </c>
      <c r="K57" s="71">
        <v>250</v>
      </c>
      <c r="L57" s="71">
        <v>99</v>
      </c>
      <c r="M57" s="37">
        <f>IF(ISBLANK(K57),,((K57-L57*2)+1000)/9)</f>
        <v>116.88888888888889</v>
      </c>
      <c r="O57" s="53"/>
      <c r="P57" s="53"/>
      <c r="Q57" s="53"/>
    </row>
    <row r="58" spans="1:30" s="35" customFormat="1" ht="118.5" customHeight="1" thickBot="1">
      <c r="A58" s="34">
        <v>18</v>
      </c>
      <c r="B58" s="68">
        <v>43044</v>
      </c>
      <c r="C58" s="68">
        <v>43044</v>
      </c>
      <c r="D58" s="63">
        <v>190</v>
      </c>
      <c r="E58" s="64" t="s">
        <v>32</v>
      </c>
      <c r="F58" s="65" t="s">
        <v>100</v>
      </c>
      <c r="G58" s="64" t="s">
        <v>25</v>
      </c>
      <c r="H58" s="64" t="s">
        <v>26</v>
      </c>
      <c r="I58" s="66" t="s">
        <v>101</v>
      </c>
      <c r="J58" s="64" t="s">
        <v>102</v>
      </c>
      <c r="K58" s="71">
        <v>172</v>
      </c>
      <c r="L58" s="71">
        <v>33</v>
      </c>
      <c r="M58" s="37">
        <f>IF(ISBLANK(K58),,((K58-L58*2)+1000)/9)</f>
        <v>122.88888888888889</v>
      </c>
    </row>
    <row r="59" spans="1:30" s="35" customFormat="1" ht="118.5" customHeight="1" thickBot="1">
      <c r="A59" s="34">
        <v>17</v>
      </c>
      <c r="B59" s="68">
        <v>43044</v>
      </c>
      <c r="C59" s="68">
        <v>43044</v>
      </c>
      <c r="D59" s="63">
        <v>191</v>
      </c>
      <c r="E59" s="64" t="s">
        <v>32</v>
      </c>
      <c r="F59" s="65" t="s">
        <v>103</v>
      </c>
      <c r="G59" s="64" t="s">
        <v>25</v>
      </c>
      <c r="H59" s="64" t="s">
        <v>26</v>
      </c>
      <c r="I59" s="66" t="s">
        <v>104</v>
      </c>
      <c r="J59" s="64" t="s">
        <v>105</v>
      </c>
      <c r="K59" s="71">
        <v>131</v>
      </c>
      <c r="L59" s="71">
        <v>120</v>
      </c>
      <c r="M59" s="37">
        <f>IF(ISBLANK(K59),,((K59-L59*2)+1000)/9)</f>
        <v>99</v>
      </c>
    </row>
    <row r="60" spans="1:30" s="35" customFormat="1" ht="118.5" customHeight="1" thickBot="1">
      <c r="A60" s="34">
        <v>22</v>
      </c>
      <c r="B60" s="68">
        <v>43044</v>
      </c>
      <c r="C60" s="68">
        <v>43044</v>
      </c>
      <c r="D60" s="63">
        <v>231</v>
      </c>
      <c r="E60" s="64" t="s">
        <v>32</v>
      </c>
      <c r="F60" s="65" t="s">
        <v>115</v>
      </c>
      <c r="G60" s="64" t="s">
        <v>25</v>
      </c>
      <c r="H60" s="64" t="s">
        <v>26</v>
      </c>
      <c r="I60" s="66" t="s">
        <v>116</v>
      </c>
      <c r="J60" s="64" t="s">
        <v>117</v>
      </c>
      <c r="K60" s="71">
        <v>122</v>
      </c>
      <c r="L60" s="71">
        <v>44</v>
      </c>
      <c r="M60" s="37">
        <f>IF(ISBLANK(K60),,((K60-L60*2)+1000)/9)</f>
        <v>114.88888888888889</v>
      </c>
    </row>
    <row r="61" spans="1:30" s="35" customFormat="1" ht="118.5" customHeight="1" thickBot="1">
      <c r="A61" s="34">
        <v>27</v>
      </c>
      <c r="B61" s="68">
        <v>43045</v>
      </c>
      <c r="C61" s="68">
        <v>43045</v>
      </c>
      <c r="D61" s="63">
        <v>260</v>
      </c>
      <c r="E61" s="64" t="s">
        <v>14</v>
      </c>
      <c r="F61" s="65" t="s">
        <v>123</v>
      </c>
      <c r="G61" s="64" t="s">
        <v>25</v>
      </c>
      <c r="H61" s="64" t="s">
        <v>26</v>
      </c>
      <c r="I61" s="66" t="s">
        <v>124</v>
      </c>
      <c r="J61" s="64" t="s">
        <v>125</v>
      </c>
      <c r="K61" s="71">
        <v>271</v>
      </c>
      <c r="L61" s="71">
        <v>35</v>
      </c>
      <c r="M61" s="37">
        <f>IF(ISBLANK(K61),,((K61-L61*2)+1000)/9)</f>
        <v>133.44444444444446</v>
      </c>
    </row>
    <row r="62" spans="1:30" s="35" customFormat="1" ht="118.5" customHeight="1" thickBot="1">
      <c r="A62" s="34">
        <v>19</v>
      </c>
      <c r="B62" s="68">
        <v>43044</v>
      </c>
      <c r="C62" s="68">
        <v>43044</v>
      </c>
      <c r="D62" s="63">
        <v>268</v>
      </c>
      <c r="E62" s="64" t="s">
        <v>32</v>
      </c>
      <c r="F62" s="65" t="s">
        <v>126</v>
      </c>
      <c r="G62" s="64" t="s">
        <v>25</v>
      </c>
      <c r="H62" s="64" t="s">
        <v>26</v>
      </c>
      <c r="I62" s="66" t="s">
        <v>127</v>
      </c>
      <c r="J62" s="64" t="s">
        <v>128</v>
      </c>
      <c r="K62" s="71">
        <v>251</v>
      </c>
      <c r="L62" s="71">
        <v>553</v>
      </c>
      <c r="M62" s="37">
        <f>IF(ISBLANK(K62),,((K62-L62*2)+1000)/9)</f>
        <v>16.111111111111111</v>
      </c>
    </row>
    <row r="63" spans="1:30" s="35" customFormat="1" ht="118.5" customHeight="1" thickBot="1">
      <c r="A63" s="34">
        <v>23</v>
      </c>
      <c r="B63" s="68">
        <v>43044</v>
      </c>
      <c r="C63" s="68">
        <v>43044</v>
      </c>
      <c r="D63" s="63">
        <v>338</v>
      </c>
      <c r="E63" s="64" t="s">
        <v>14</v>
      </c>
      <c r="F63" s="65" t="s">
        <v>129</v>
      </c>
      <c r="G63" s="64" t="s">
        <v>25</v>
      </c>
      <c r="H63" s="64" t="s">
        <v>26</v>
      </c>
      <c r="I63" s="66" t="s">
        <v>130</v>
      </c>
      <c r="J63" s="64" t="s">
        <v>131</v>
      </c>
      <c r="K63" s="71">
        <v>398</v>
      </c>
      <c r="L63" s="71">
        <v>35</v>
      </c>
      <c r="M63" s="37">
        <f>IF(ISBLANK(K63),,((K63-L63*2)+1000)/9)</f>
        <v>147.55555555555554</v>
      </c>
    </row>
    <row r="64" spans="1:30" s="35" customFormat="1" ht="118.5" customHeight="1" thickBot="1">
      <c r="A64" s="34">
        <v>20</v>
      </c>
      <c r="B64" s="68">
        <v>43044</v>
      </c>
      <c r="C64" s="68">
        <v>43044</v>
      </c>
      <c r="D64" s="63">
        <v>342</v>
      </c>
      <c r="E64" s="64" t="s">
        <v>32</v>
      </c>
      <c r="F64" s="65" t="s">
        <v>132</v>
      </c>
      <c r="G64" s="64" t="s">
        <v>25</v>
      </c>
      <c r="H64" s="64" t="s">
        <v>26</v>
      </c>
      <c r="I64" s="66" t="s">
        <v>133</v>
      </c>
      <c r="J64" s="64" t="s">
        <v>134</v>
      </c>
      <c r="K64" s="71">
        <v>131</v>
      </c>
      <c r="L64" s="71">
        <v>59</v>
      </c>
      <c r="M64" s="37">
        <f>IF(ISBLANK(K64),,((K64-L64*2)+1000)/9)</f>
        <v>112.55555555555556</v>
      </c>
    </row>
    <row r="65" spans="1:17" s="35" customFormat="1" ht="118.5" customHeight="1" thickBot="1">
      <c r="A65" s="34">
        <v>21</v>
      </c>
      <c r="B65" s="68">
        <v>43044</v>
      </c>
      <c r="C65" s="68">
        <v>43044</v>
      </c>
      <c r="D65" s="63">
        <v>371</v>
      </c>
      <c r="E65" s="64" t="s">
        <v>32</v>
      </c>
      <c r="F65" s="65" t="s">
        <v>138</v>
      </c>
      <c r="G65" s="64" t="s">
        <v>25</v>
      </c>
      <c r="H65" s="64" t="s">
        <v>26</v>
      </c>
      <c r="I65" s="66" t="s">
        <v>139</v>
      </c>
      <c r="J65" s="64" t="s">
        <v>140</v>
      </c>
      <c r="K65" s="71">
        <v>294</v>
      </c>
      <c r="L65" s="71">
        <v>357</v>
      </c>
      <c r="M65" s="37">
        <f>IF(ISBLANK(K65),,((K65-L65*2)+1000)/9)</f>
        <v>64.444444444444443</v>
      </c>
    </row>
    <row r="66" spans="1:17" s="35" customFormat="1" ht="118.5" customHeight="1" thickBot="1">
      <c r="A66" s="34">
        <v>25</v>
      </c>
      <c r="B66" s="68">
        <v>43044</v>
      </c>
      <c r="C66" s="68">
        <v>43044</v>
      </c>
      <c r="D66" s="63">
        <v>461</v>
      </c>
      <c r="E66" s="64" t="s">
        <v>32</v>
      </c>
      <c r="F66" s="65" t="s">
        <v>148</v>
      </c>
      <c r="G66" s="64" t="s">
        <v>25</v>
      </c>
      <c r="H66" s="64" t="s">
        <v>26</v>
      </c>
      <c r="I66" s="66" t="s">
        <v>149</v>
      </c>
      <c r="J66" s="64" t="s">
        <v>150</v>
      </c>
      <c r="K66" s="71">
        <v>585</v>
      </c>
      <c r="L66" s="71">
        <v>48</v>
      </c>
      <c r="M66" s="37">
        <f>IF(ISBLANK(K66),,((K66-L66*2)+1000)/9)</f>
        <v>165.44444444444446</v>
      </c>
    </row>
    <row r="67" spans="1:17" s="35" customFormat="1" ht="118.5" customHeight="1" thickBot="1">
      <c r="A67" s="34">
        <v>67</v>
      </c>
      <c r="B67" s="68">
        <v>43087</v>
      </c>
      <c r="C67" s="64"/>
      <c r="D67" s="63">
        <v>75</v>
      </c>
      <c r="E67" s="64" t="s">
        <v>14</v>
      </c>
      <c r="F67" s="65" t="s">
        <v>301</v>
      </c>
      <c r="G67" s="64" t="s">
        <v>302</v>
      </c>
      <c r="H67" s="64" t="s">
        <v>303</v>
      </c>
      <c r="I67" s="66"/>
      <c r="J67" s="64"/>
      <c r="K67" s="71">
        <v>358</v>
      </c>
      <c r="L67" s="71">
        <v>50</v>
      </c>
      <c r="M67" s="37">
        <f>IF(ISBLANK(K67),,((K67-L67*2)+1000)/9)</f>
        <v>139.77777777777777</v>
      </c>
    </row>
    <row r="68" spans="1:17" s="35" customFormat="1" ht="118.5" customHeight="1" thickBot="1">
      <c r="A68" s="34">
        <v>12</v>
      </c>
      <c r="B68" s="68">
        <v>43039</v>
      </c>
      <c r="C68" s="68">
        <v>43039</v>
      </c>
      <c r="D68" s="63">
        <v>657</v>
      </c>
      <c r="E68" s="64" t="s">
        <v>32</v>
      </c>
      <c r="F68" s="65" t="s">
        <v>154</v>
      </c>
      <c r="G68" s="64" t="s">
        <v>33</v>
      </c>
      <c r="H68" s="64" t="s">
        <v>165</v>
      </c>
      <c r="I68" s="66" t="s">
        <v>155</v>
      </c>
      <c r="J68" s="64" t="s">
        <v>156</v>
      </c>
      <c r="K68" s="71">
        <v>330</v>
      </c>
      <c r="L68" s="71">
        <v>283</v>
      </c>
      <c r="M68" s="37">
        <f>IF(ISBLANK(K68),,((K68-L68*2)+1000)/9)</f>
        <v>84.888888888888886</v>
      </c>
    </row>
    <row r="69" spans="1:17" s="35" customFormat="1" ht="118.5" customHeight="1" thickBot="1">
      <c r="A69" s="34">
        <v>72</v>
      </c>
      <c r="B69" s="68">
        <v>43087</v>
      </c>
      <c r="C69" s="64"/>
      <c r="D69" s="63">
        <v>415</v>
      </c>
      <c r="E69" s="64" t="s">
        <v>32</v>
      </c>
      <c r="F69" s="65" t="s">
        <v>234</v>
      </c>
      <c r="G69" s="64" t="s">
        <v>33</v>
      </c>
      <c r="H69" s="64" t="s">
        <v>70</v>
      </c>
      <c r="I69" s="66" t="s">
        <v>235</v>
      </c>
      <c r="J69" s="64"/>
      <c r="K69" s="71">
        <v>108</v>
      </c>
      <c r="L69" s="71">
        <v>33</v>
      </c>
      <c r="M69" s="37">
        <f>IF(ISBLANK(K69),,((K69-L69*2)+1000)/9)</f>
        <v>115.77777777777777</v>
      </c>
    </row>
    <row r="70" spans="1:17" s="35" customFormat="1" ht="118.5" customHeight="1" thickBot="1">
      <c r="A70" s="34">
        <v>39</v>
      </c>
      <c r="B70" s="68">
        <v>43062</v>
      </c>
      <c r="C70" s="68">
        <v>43062</v>
      </c>
      <c r="D70" s="63">
        <v>20</v>
      </c>
      <c r="E70" s="64" t="s">
        <v>32</v>
      </c>
      <c r="F70" s="65" t="s">
        <v>34</v>
      </c>
      <c r="G70" s="64" t="s">
        <v>35</v>
      </c>
      <c r="H70" s="64" t="s">
        <v>36</v>
      </c>
      <c r="I70" s="66" t="s">
        <v>37</v>
      </c>
      <c r="J70" s="64" t="s">
        <v>38</v>
      </c>
      <c r="K70" s="71">
        <v>627</v>
      </c>
      <c r="L70" s="71">
        <v>39</v>
      </c>
      <c r="M70" s="37">
        <f>IF(ISBLANK(K70),,((K70-L70*2)+1000)/9)</f>
        <v>172.11111111111111</v>
      </c>
    </row>
    <row r="71" spans="1:17" s="35" customFormat="1" ht="118.5" customHeight="1" thickBot="1">
      <c r="A71" s="34">
        <v>29</v>
      </c>
      <c r="B71" s="68">
        <v>43051</v>
      </c>
      <c r="C71" s="68">
        <v>43051</v>
      </c>
      <c r="D71" s="63">
        <v>28</v>
      </c>
      <c r="E71" s="64" t="s">
        <v>32</v>
      </c>
      <c r="F71" s="65" t="s">
        <v>41</v>
      </c>
      <c r="G71" s="64" t="s">
        <v>35</v>
      </c>
      <c r="H71" s="64" t="s">
        <v>36</v>
      </c>
      <c r="I71" s="66" t="s">
        <v>42</v>
      </c>
      <c r="J71" s="64" t="s">
        <v>43</v>
      </c>
      <c r="K71" s="71">
        <v>193</v>
      </c>
      <c r="L71" s="71">
        <v>370</v>
      </c>
      <c r="M71" s="37">
        <f>IF(ISBLANK(K71),,((K71-L71*2)+1000)/9)</f>
        <v>50.333333333333336</v>
      </c>
    </row>
    <row r="72" spans="1:17" s="35" customFormat="1" ht="118.5" customHeight="1" thickBot="1">
      <c r="A72" s="34">
        <v>30</v>
      </c>
      <c r="B72" s="68">
        <v>43051</v>
      </c>
      <c r="C72" s="68">
        <v>43051</v>
      </c>
      <c r="D72" s="63">
        <v>38</v>
      </c>
      <c r="E72" s="64" t="s">
        <v>32</v>
      </c>
      <c r="F72" s="65" t="s">
        <v>47</v>
      </c>
      <c r="G72" s="64" t="s">
        <v>35</v>
      </c>
      <c r="H72" s="64" t="s">
        <v>36</v>
      </c>
      <c r="I72" s="66" t="s">
        <v>48</v>
      </c>
      <c r="J72" s="64" t="s">
        <v>49</v>
      </c>
      <c r="K72" s="71">
        <v>160</v>
      </c>
      <c r="L72" s="71">
        <v>1169</v>
      </c>
      <c r="M72" s="37">
        <f>IF(ISBLANK(K72),,((K72-L72*2)+1000)/9)</f>
        <v>-130.88888888888889</v>
      </c>
    </row>
    <row r="73" spans="1:17" s="35" customFormat="1" ht="118.5" customHeight="1" thickBot="1">
      <c r="A73" s="34">
        <v>36</v>
      </c>
      <c r="B73" s="68">
        <v>43062</v>
      </c>
      <c r="C73" s="68">
        <v>43062</v>
      </c>
      <c r="D73" s="63">
        <v>58</v>
      </c>
      <c r="E73" s="64" t="s">
        <v>32</v>
      </c>
      <c r="F73" s="65" t="s">
        <v>54</v>
      </c>
      <c r="G73" s="64" t="s">
        <v>35</v>
      </c>
      <c r="H73" s="64" t="s">
        <v>36</v>
      </c>
      <c r="I73" s="66" t="s">
        <v>55</v>
      </c>
      <c r="J73" s="64" t="s">
        <v>56</v>
      </c>
      <c r="K73" s="71">
        <v>75</v>
      </c>
      <c r="L73" s="71">
        <v>341</v>
      </c>
      <c r="M73" s="37">
        <f>IF(ISBLANK(K73),,((K73-L73*2)+1000)/9)</f>
        <v>43.666666666666664</v>
      </c>
    </row>
    <row r="74" spans="1:17" s="35" customFormat="1" ht="118.5" customHeight="1" thickBot="1">
      <c r="A74" s="34">
        <v>68</v>
      </c>
      <c r="B74" s="68">
        <v>43087</v>
      </c>
      <c r="C74" s="68">
        <v>43087</v>
      </c>
      <c r="D74" s="63">
        <v>125</v>
      </c>
      <c r="E74" s="64" t="s">
        <v>32</v>
      </c>
      <c r="F74" s="65" t="s">
        <v>290</v>
      </c>
      <c r="G74" s="64" t="s">
        <v>291</v>
      </c>
      <c r="H74" s="64" t="s">
        <v>292</v>
      </c>
      <c r="I74" s="66" t="s">
        <v>228</v>
      </c>
      <c r="J74" s="64" t="s">
        <v>227</v>
      </c>
      <c r="K74" s="71">
        <v>126</v>
      </c>
      <c r="L74" s="71">
        <v>462</v>
      </c>
      <c r="M74" s="37">
        <f>IF(ISBLANK(K74),,((K74-L74*2)+1000)/9)</f>
        <v>22.444444444444443</v>
      </c>
    </row>
    <row r="75" spans="1:17" s="35" customFormat="1" ht="118.5" customHeight="1" thickBot="1">
      <c r="A75" s="34">
        <v>37</v>
      </c>
      <c r="B75" s="68">
        <v>43062</v>
      </c>
      <c r="C75" s="68">
        <v>43062</v>
      </c>
      <c r="D75" s="63">
        <v>383</v>
      </c>
      <c r="E75" s="64" t="s">
        <v>32</v>
      </c>
      <c r="F75" s="65" t="s">
        <v>141</v>
      </c>
      <c r="G75" s="64" t="s">
        <v>35</v>
      </c>
      <c r="H75" s="64" t="s">
        <v>36</v>
      </c>
      <c r="I75" s="66" t="s">
        <v>142</v>
      </c>
      <c r="J75" s="64" t="s">
        <v>143</v>
      </c>
      <c r="K75" s="71">
        <v>96</v>
      </c>
      <c r="L75" s="71">
        <v>27</v>
      </c>
      <c r="M75" s="37">
        <f>IF(ISBLANK(K75),,((K75-L75*2)+1000)/9)</f>
        <v>115.77777777777777</v>
      </c>
    </row>
    <row r="76" spans="1:17" s="35" customFormat="1" ht="118.5" customHeight="1" thickBot="1">
      <c r="A76" s="34">
        <v>40</v>
      </c>
      <c r="B76" s="68">
        <v>43062</v>
      </c>
      <c r="C76" s="68">
        <v>43062</v>
      </c>
      <c r="D76" s="63">
        <v>66</v>
      </c>
      <c r="E76" s="64" t="s">
        <v>32</v>
      </c>
      <c r="F76" s="65" t="s">
        <v>69</v>
      </c>
      <c r="G76" s="64" t="s">
        <v>35</v>
      </c>
      <c r="H76" s="64" t="s">
        <v>70</v>
      </c>
      <c r="I76" s="66" t="s">
        <v>71</v>
      </c>
      <c r="J76" s="64" t="s">
        <v>72</v>
      </c>
      <c r="K76" s="71">
        <v>164</v>
      </c>
      <c r="L76" s="71">
        <v>348</v>
      </c>
      <c r="M76" s="37">
        <f>IF(ISBLANK(K76),,((K76-L76*2)+1000)/9)</f>
        <v>52</v>
      </c>
    </row>
    <row r="77" spans="1:17" s="35" customFormat="1" ht="118.5" customHeight="1" thickBot="1">
      <c r="A77" s="34">
        <v>47</v>
      </c>
      <c r="B77" s="68">
        <v>43073</v>
      </c>
      <c r="C77" s="68">
        <v>43082</v>
      </c>
      <c r="D77" s="63">
        <v>235</v>
      </c>
      <c r="E77" s="64" t="s">
        <v>32</v>
      </c>
      <c r="F77" s="65" t="s">
        <v>119</v>
      </c>
      <c r="G77" s="64" t="s">
        <v>27</v>
      </c>
      <c r="H77" s="64" t="s">
        <v>120</v>
      </c>
      <c r="I77" s="66" t="s">
        <v>121</v>
      </c>
      <c r="J77" s="64" t="s">
        <v>122</v>
      </c>
      <c r="K77" s="71">
        <v>257</v>
      </c>
      <c r="L77" s="71">
        <v>35</v>
      </c>
      <c r="M77" s="37">
        <f>IF(ISBLANK(K77),,((K77-L77*2)+1000)/9)</f>
        <v>131.88888888888889</v>
      </c>
      <c r="O77" s="50"/>
      <c r="P77" s="50"/>
      <c r="Q77" s="50"/>
    </row>
    <row r="78" spans="1:17" s="35" customFormat="1" ht="118.5" customHeight="1" thickBot="1">
      <c r="A78" s="34">
        <v>76</v>
      </c>
      <c r="B78" s="68">
        <v>43125</v>
      </c>
      <c r="C78" s="68">
        <v>43125</v>
      </c>
      <c r="D78" s="63">
        <v>538</v>
      </c>
      <c r="E78" s="64" t="s">
        <v>32</v>
      </c>
      <c r="F78" s="65" t="s">
        <v>242</v>
      </c>
      <c r="G78" s="64" t="s">
        <v>27</v>
      </c>
      <c r="H78" s="64" t="s">
        <v>120</v>
      </c>
      <c r="I78" s="66" t="s">
        <v>243</v>
      </c>
      <c r="J78" s="64" t="s">
        <v>244</v>
      </c>
      <c r="K78" s="71">
        <v>448</v>
      </c>
      <c r="L78" s="71">
        <v>38</v>
      </c>
      <c r="M78" s="37">
        <f>IF(ISBLANK(K78),,((K78-L78*2)+1000)/9)</f>
        <v>152.44444444444446</v>
      </c>
    </row>
    <row r="79" spans="1:17" s="35" customFormat="1" ht="118.5" customHeight="1" thickBot="1">
      <c r="A79" s="34">
        <v>13</v>
      </c>
      <c r="B79" s="68">
        <v>43042</v>
      </c>
      <c r="C79" s="68">
        <v>43042</v>
      </c>
      <c r="D79" s="63">
        <v>669</v>
      </c>
      <c r="E79" s="64" t="s">
        <v>32</v>
      </c>
      <c r="F79" s="65" t="s">
        <v>157</v>
      </c>
      <c r="G79" s="64" t="s">
        <v>27</v>
      </c>
      <c r="H79" s="64" t="s">
        <v>297</v>
      </c>
      <c r="I79" s="66" t="s">
        <v>158</v>
      </c>
      <c r="J79" s="64" t="s">
        <v>314</v>
      </c>
      <c r="K79" s="71">
        <v>323</v>
      </c>
      <c r="L79" s="71">
        <v>59</v>
      </c>
      <c r="M79" s="37">
        <f>IF(ISBLANK(K79),,((K79-L79*2)+1000)/9)</f>
        <v>133.88888888888889</v>
      </c>
    </row>
    <row r="80" spans="1:17" s="35" customFormat="1" ht="118.5" customHeight="1" thickBot="1">
      <c r="A80" s="34">
        <v>74</v>
      </c>
      <c r="B80" s="62">
        <v>43123</v>
      </c>
      <c r="C80" s="62">
        <v>43123</v>
      </c>
      <c r="D80" s="63">
        <v>94</v>
      </c>
      <c r="E80" s="64" t="s">
        <v>14</v>
      </c>
      <c r="F80" s="65" t="s">
        <v>238</v>
      </c>
      <c r="G80" s="64" t="s">
        <v>27</v>
      </c>
      <c r="H80" s="64" t="s">
        <v>237</v>
      </c>
      <c r="I80" s="66" t="s">
        <v>239</v>
      </c>
      <c r="J80" s="78" t="s">
        <v>316</v>
      </c>
      <c r="K80" s="71">
        <v>378</v>
      </c>
      <c r="L80" s="71">
        <v>13</v>
      </c>
      <c r="M80" s="37">
        <f>IF(ISBLANK(K80),,((K80-L80*2)+1000)/9)</f>
        <v>150.22222222222223</v>
      </c>
    </row>
    <row r="81" spans="1:13" s="35" customFormat="1" ht="118.5" customHeight="1" thickBot="1">
      <c r="A81" s="34">
        <v>73</v>
      </c>
      <c r="B81" s="62">
        <v>43123</v>
      </c>
      <c r="C81" s="62">
        <v>43123</v>
      </c>
      <c r="D81" s="63">
        <v>144</v>
      </c>
      <c r="E81" s="64" t="s">
        <v>14</v>
      </c>
      <c r="F81" s="65" t="s">
        <v>236</v>
      </c>
      <c r="G81" s="64" t="s">
        <v>27</v>
      </c>
      <c r="H81" s="64" t="s">
        <v>237</v>
      </c>
      <c r="I81" s="66" t="s">
        <v>239</v>
      </c>
      <c r="J81" s="78" t="s">
        <v>317</v>
      </c>
      <c r="K81" s="71">
        <v>143</v>
      </c>
      <c r="L81" s="71">
        <v>12</v>
      </c>
      <c r="M81" s="37">
        <f>IF(ISBLANK(K81),,((K81-L81*2)+1000)/9)</f>
        <v>124.33333333333333</v>
      </c>
    </row>
    <row r="82" spans="1:13" s="35" customFormat="1" ht="118.5" customHeight="1" thickBot="1">
      <c r="A82" s="34">
        <v>75</v>
      </c>
      <c r="B82" s="62">
        <v>43123</v>
      </c>
      <c r="C82" s="62">
        <v>43123</v>
      </c>
      <c r="D82" s="63">
        <v>145</v>
      </c>
      <c r="E82" s="64" t="s">
        <v>188</v>
      </c>
      <c r="F82" s="65" t="s">
        <v>240</v>
      </c>
      <c r="G82" s="64" t="s">
        <v>27</v>
      </c>
      <c r="H82" s="64" t="s">
        <v>237</v>
      </c>
      <c r="I82" s="66" t="s">
        <v>239</v>
      </c>
      <c r="J82" s="64" t="s">
        <v>241</v>
      </c>
      <c r="K82" s="71">
        <v>231</v>
      </c>
      <c r="L82" s="71">
        <v>18</v>
      </c>
      <c r="M82" s="37">
        <f>IF(ISBLANK(K82),,((K82-L82*2)+1000)/9)</f>
        <v>132.77777777777777</v>
      </c>
    </row>
    <row r="83" spans="1:13" s="35" customFormat="1" ht="118.5" customHeight="1" thickBot="1">
      <c r="A83" s="34">
        <v>50</v>
      </c>
      <c r="B83" s="69">
        <v>43083</v>
      </c>
      <c r="C83" s="69">
        <v>43124</v>
      </c>
      <c r="D83" s="76">
        <v>100</v>
      </c>
      <c r="E83" s="70" t="s">
        <v>172</v>
      </c>
      <c r="F83" s="65" t="s">
        <v>170</v>
      </c>
      <c r="G83" s="70" t="s">
        <v>282</v>
      </c>
      <c r="H83" s="70" t="s">
        <v>283</v>
      </c>
      <c r="I83" s="65" t="s">
        <v>198</v>
      </c>
      <c r="J83" s="70" t="s">
        <v>199</v>
      </c>
      <c r="K83" s="77">
        <v>264</v>
      </c>
      <c r="L83" s="77">
        <v>8</v>
      </c>
      <c r="M83" s="51">
        <f>IF(ISBLANK(K83),,((K83-L83*2)+1000)/9)</f>
        <v>138.66666666666666</v>
      </c>
    </row>
    <row r="84" spans="1:13" s="35" customFormat="1" ht="118.5" customHeight="1" thickBot="1">
      <c r="A84" s="34">
        <v>51</v>
      </c>
      <c r="B84" s="68">
        <v>43083</v>
      </c>
      <c r="C84" s="69">
        <v>43134</v>
      </c>
      <c r="D84" s="63">
        <v>101</v>
      </c>
      <c r="E84" s="64" t="s">
        <v>172</v>
      </c>
      <c r="F84" s="65" t="s">
        <v>171</v>
      </c>
      <c r="G84" s="70" t="s">
        <v>27</v>
      </c>
      <c r="H84" s="70" t="s">
        <v>84</v>
      </c>
      <c r="I84" s="66" t="s">
        <v>200</v>
      </c>
      <c r="J84" s="64" t="s">
        <v>201</v>
      </c>
      <c r="K84" s="71">
        <v>553</v>
      </c>
      <c r="L84" s="71">
        <v>8</v>
      </c>
      <c r="M84" s="37">
        <f>IF(ISBLANK(K84),,((K84-L84*2)+1000)/9)</f>
        <v>170.77777777777777</v>
      </c>
    </row>
    <row r="85" spans="1:13" s="35" customFormat="1" ht="118.5" customHeight="1" thickBot="1">
      <c r="A85" s="34">
        <v>32</v>
      </c>
      <c r="B85" s="68">
        <v>43051</v>
      </c>
      <c r="C85" s="68">
        <v>43051</v>
      </c>
      <c r="D85" s="63">
        <v>104</v>
      </c>
      <c r="E85" s="64" t="s">
        <v>32</v>
      </c>
      <c r="F85" s="65" t="s">
        <v>83</v>
      </c>
      <c r="G85" s="64" t="s">
        <v>27</v>
      </c>
      <c r="H85" s="64" t="s">
        <v>84</v>
      </c>
      <c r="I85" s="66" t="s">
        <v>196</v>
      </c>
      <c r="J85" s="64" t="s">
        <v>85</v>
      </c>
      <c r="K85" s="71">
        <v>258</v>
      </c>
      <c r="L85" s="71">
        <v>14</v>
      </c>
      <c r="M85" s="37">
        <f>IF(ISBLANK(K85),,((K85-L85*2)+1000)/9)</f>
        <v>136.66666666666666</v>
      </c>
    </row>
    <row r="86" spans="1:13" s="35" customFormat="1" ht="118.5" customHeight="1" thickBot="1">
      <c r="A86" s="34">
        <v>52</v>
      </c>
      <c r="B86" s="68">
        <v>43083</v>
      </c>
      <c r="C86" s="69">
        <v>43083</v>
      </c>
      <c r="D86" s="63">
        <v>111</v>
      </c>
      <c r="E86" s="64" t="s">
        <v>172</v>
      </c>
      <c r="F86" s="65" t="s">
        <v>173</v>
      </c>
      <c r="G86" s="70" t="s">
        <v>282</v>
      </c>
      <c r="H86" s="70" t="s">
        <v>293</v>
      </c>
      <c r="I86" s="66" t="s">
        <v>202</v>
      </c>
      <c r="J86" s="64" t="s">
        <v>203</v>
      </c>
      <c r="K86" s="71">
        <v>170</v>
      </c>
      <c r="L86" s="71">
        <v>74</v>
      </c>
      <c r="M86" s="37">
        <f>IF(ISBLANK(K86),,((K86-L86*2)+1000)/9)</f>
        <v>113.55555555555556</v>
      </c>
    </row>
    <row r="87" spans="1:13" s="35" customFormat="1" ht="118.5" customHeight="1" thickBot="1">
      <c r="A87" s="34">
        <v>53</v>
      </c>
      <c r="B87" s="68">
        <v>43083</v>
      </c>
      <c r="C87" s="69">
        <v>43083</v>
      </c>
      <c r="D87" s="63">
        <v>112</v>
      </c>
      <c r="E87" s="64" t="s">
        <v>176</v>
      </c>
      <c r="F87" s="65" t="s">
        <v>174</v>
      </c>
      <c r="G87" s="70" t="s">
        <v>282</v>
      </c>
      <c r="H87" s="70" t="s">
        <v>294</v>
      </c>
      <c r="I87" s="66" t="s">
        <v>204</v>
      </c>
      <c r="J87" s="64" t="s">
        <v>205</v>
      </c>
      <c r="K87" s="71">
        <v>210</v>
      </c>
      <c r="L87" s="71">
        <v>69</v>
      </c>
      <c r="M87" s="37">
        <f>IF(ISBLANK(K87),,((K87-L87*2)+1000)/9)</f>
        <v>119.11111111111111</v>
      </c>
    </row>
    <row r="88" spans="1:13" s="35" customFormat="1" ht="118.5" customHeight="1" thickBot="1">
      <c r="A88" s="34">
        <v>54</v>
      </c>
      <c r="B88" s="68">
        <v>43083</v>
      </c>
      <c r="C88" s="69">
        <v>43083</v>
      </c>
      <c r="D88" s="63">
        <v>113</v>
      </c>
      <c r="E88" s="64" t="s">
        <v>177</v>
      </c>
      <c r="F88" s="65" t="s">
        <v>175</v>
      </c>
      <c r="G88" s="70" t="s">
        <v>295</v>
      </c>
      <c r="H88" s="70" t="s">
        <v>296</v>
      </c>
      <c r="I88" s="66" t="s">
        <v>206</v>
      </c>
      <c r="J88" s="64" t="s">
        <v>207</v>
      </c>
      <c r="K88" s="71">
        <v>197</v>
      </c>
      <c r="L88" s="71">
        <v>7</v>
      </c>
      <c r="M88" s="37">
        <f>IF(ISBLANK(K88),,((K88-L88*2)+1000)/9)</f>
        <v>131.44444444444446</v>
      </c>
    </row>
    <row r="89" spans="1:13" s="35" customFormat="1" ht="118.5" customHeight="1" thickBot="1">
      <c r="A89" s="34">
        <v>55</v>
      </c>
      <c r="B89" s="68">
        <v>43083</v>
      </c>
      <c r="C89" s="69">
        <v>43134</v>
      </c>
      <c r="D89" s="63">
        <v>226</v>
      </c>
      <c r="E89" s="64" t="s">
        <v>172</v>
      </c>
      <c r="F89" s="65" t="s">
        <v>178</v>
      </c>
      <c r="G89" s="70" t="s">
        <v>282</v>
      </c>
      <c r="H89" s="70" t="s">
        <v>283</v>
      </c>
      <c r="I89" s="66" t="s">
        <v>208</v>
      </c>
      <c r="J89" s="64" t="s">
        <v>209</v>
      </c>
      <c r="K89" s="71">
        <v>353</v>
      </c>
      <c r="L89" s="71">
        <v>8</v>
      </c>
      <c r="M89" s="37">
        <f>IF(ISBLANK(K89),,((K89-L89*2)+1000)/9)</f>
        <v>148.55555555555554</v>
      </c>
    </row>
    <row r="90" spans="1:13" s="35" customFormat="1" ht="118.5" customHeight="1" thickBot="1">
      <c r="A90" s="34">
        <v>85</v>
      </c>
      <c r="B90" s="62">
        <v>43136</v>
      </c>
      <c r="C90" s="62">
        <v>43136</v>
      </c>
      <c r="D90" s="63">
        <v>236</v>
      </c>
      <c r="E90" s="64" t="s">
        <v>14</v>
      </c>
      <c r="F90" s="65" t="s">
        <v>279</v>
      </c>
      <c r="G90" s="64" t="s">
        <v>27</v>
      </c>
      <c r="H90" s="64" t="s">
        <v>84</v>
      </c>
      <c r="I90" s="66" t="s">
        <v>280</v>
      </c>
      <c r="J90" s="64" t="s">
        <v>281</v>
      </c>
      <c r="K90" s="67">
        <v>526</v>
      </c>
      <c r="L90" s="67">
        <v>59</v>
      </c>
      <c r="M90" s="49">
        <f>IF(ISBLANK(K90),,((K90-L90*2)+1000)/9)</f>
        <v>156.44444444444446</v>
      </c>
    </row>
    <row r="91" spans="1:13" s="35" customFormat="1" ht="118.5" customHeight="1" thickBot="1">
      <c r="A91" s="34">
        <v>88</v>
      </c>
      <c r="B91" s="62">
        <v>43137</v>
      </c>
      <c r="C91" s="62">
        <v>43137</v>
      </c>
      <c r="D91" s="63">
        <v>572</v>
      </c>
      <c r="E91" s="64" t="s">
        <v>32</v>
      </c>
      <c r="F91" s="65" t="s">
        <v>324</v>
      </c>
      <c r="G91" s="64" t="s">
        <v>27</v>
      </c>
      <c r="H91" s="64" t="s">
        <v>84</v>
      </c>
      <c r="I91" s="66" t="s">
        <v>325</v>
      </c>
      <c r="J91" s="64" t="s">
        <v>326</v>
      </c>
      <c r="K91" s="67">
        <v>503</v>
      </c>
      <c r="L91" s="67">
        <v>12</v>
      </c>
      <c r="M91" s="49">
        <f>IF(ISBLANK(K91),,((K91-L91*2)+1000)/9)</f>
        <v>164.33333333333334</v>
      </c>
    </row>
    <row r="92" spans="1:13" s="35" customFormat="1" ht="118.5" customHeight="1" thickBot="1">
      <c r="A92" s="34">
        <v>89</v>
      </c>
      <c r="B92" s="64"/>
      <c r="C92" s="64"/>
      <c r="D92" s="63"/>
      <c r="E92" s="64"/>
      <c r="F92" s="65"/>
      <c r="G92" s="64"/>
      <c r="H92" s="64"/>
      <c r="I92" s="66"/>
      <c r="J92" s="64"/>
      <c r="K92" s="67"/>
      <c r="L92" s="67"/>
      <c r="M92" s="49"/>
    </row>
    <row r="93" spans="1:13" s="35" customFormat="1" ht="118.5" customHeight="1" thickBot="1">
      <c r="A93" s="34">
        <v>90</v>
      </c>
      <c r="B93" s="64"/>
      <c r="C93" s="79"/>
      <c r="D93" s="63"/>
      <c r="E93" s="64"/>
      <c r="F93" s="65"/>
      <c r="G93" s="64"/>
      <c r="H93" s="64"/>
      <c r="I93" s="66"/>
      <c r="J93" s="64"/>
      <c r="K93" s="67"/>
      <c r="L93" s="67"/>
      <c r="M93" s="49"/>
    </row>
    <row r="94" spans="1:13" s="35" customFormat="1" ht="118.5" customHeight="1" thickBot="1">
      <c r="A94" s="34">
        <v>91</v>
      </c>
      <c r="B94" s="64"/>
      <c r="C94" s="64"/>
      <c r="D94" s="63"/>
      <c r="E94" s="64"/>
      <c r="F94" s="65"/>
      <c r="G94" s="64"/>
      <c r="H94" s="64"/>
      <c r="I94" s="66"/>
      <c r="J94" s="64"/>
      <c r="K94" s="67"/>
      <c r="L94" s="67"/>
      <c r="M94" s="49"/>
    </row>
    <row r="95" spans="1:13" s="35" customFormat="1" ht="118.5" customHeight="1" thickBot="1">
      <c r="A95" s="34">
        <v>92</v>
      </c>
      <c r="B95" s="64"/>
      <c r="C95" s="64"/>
      <c r="D95" s="63"/>
      <c r="E95" s="64"/>
      <c r="F95" s="65"/>
      <c r="G95" s="64"/>
      <c r="H95" s="64"/>
      <c r="I95" s="66"/>
      <c r="J95" s="64"/>
      <c r="K95" s="67"/>
      <c r="L95" s="67"/>
      <c r="M95" s="49"/>
    </row>
    <row r="96" spans="1:13" s="35" customFormat="1" ht="118.5" customHeight="1" thickBot="1">
      <c r="A96" s="34">
        <v>93</v>
      </c>
      <c r="B96" s="64"/>
      <c r="C96" s="64"/>
      <c r="D96" s="63"/>
      <c r="E96" s="64"/>
      <c r="F96" s="65"/>
      <c r="G96" s="64"/>
      <c r="H96" s="64"/>
      <c r="I96" s="66"/>
      <c r="J96" s="64"/>
      <c r="K96" s="67"/>
      <c r="L96" s="67"/>
      <c r="M96" s="49"/>
    </row>
    <row r="97" spans="1:13" s="35" customFormat="1" ht="118.5" customHeight="1" thickBot="1">
      <c r="A97" s="34">
        <v>94</v>
      </c>
      <c r="B97" s="64"/>
      <c r="C97" s="64"/>
      <c r="D97" s="63"/>
      <c r="E97" s="64"/>
      <c r="F97" s="65"/>
      <c r="G97" s="64"/>
      <c r="H97" s="64"/>
      <c r="I97" s="66"/>
      <c r="J97" s="64"/>
      <c r="K97" s="67"/>
      <c r="L97" s="67"/>
      <c r="M97" s="49"/>
    </row>
    <row r="98" spans="1:13" s="35" customFormat="1" ht="118.5" customHeight="1" thickBot="1">
      <c r="A98" s="34">
        <v>95</v>
      </c>
      <c r="B98" s="64"/>
      <c r="C98" s="64"/>
      <c r="D98" s="63"/>
      <c r="E98" s="64"/>
      <c r="F98" s="65"/>
      <c r="G98" s="64"/>
      <c r="H98" s="64"/>
      <c r="I98" s="66"/>
      <c r="J98" s="64"/>
      <c r="K98" s="67"/>
      <c r="L98" s="67"/>
      <c r="M98" s="49"/>
    </row>
    <row r="99" spans="1:13" s="35" customFormat="1" ht="118.5" customHeight="1" thickBot="1">
      <c r="A99" s="34">
        <v>96</v>
      </c>
      <c r="B99" s="64"/>
      <c r="C99" s="64"/>
      <c r="D99" s="63"/>
      <c r="E99" s="64"/>
      <c r="F99" s="65"/>
      <c r="G99" s="64"/>
      <c r="H99" s="64"/>
      <c r="I99" s="66"/>
      <c r="J99" s="64"/>
      <c r="K99" s="67"/>
      <c r="L99" s="67"/>
      <c r="M99" s="49"/>
    </row>
    <row r="100" spans="1:13" s="35" customFormat="1" ht="118.5" customHeight="1" thickBot="1">
      <c r="A100" s="34">
        <v>97</v>
      </c>
      <c r="B100" s="64"/>
      <c r="C100" s="64"/>
      <c r="D100" s="63"/>
      <c r="E100" s="64"/>
      <c r="F100" s="65"/>
      <c r="G100" s="64"/>
      <c r="H100" s="64"/>
      <c r="I100" s="66"/>
      <c r="J100" s="64"/>
      <c r="K100" s="67"/>
      <c r="L100" s="67"/>
      <c r="M100" s="49"/>
    </row>
    <row r="101" spans="1:13" s="35" customFormat="1" ht="118.5" customHeight="1" thickBot="1">
      <c r="A101" s="34">
        <v>98</v>
      </c>
      <c r="B101" s="64"/>
      <c r="C101" s="64"/>
      <c r="D101" s="63"/>
      <c r="E101" s="64"/>
      <c r="F101" s="65"/>
      <c r="G101" s="64"/>
      <c r="H101" s="64"/>
      <c r="I101" s="66"/>
      <c r="J101" s="64"/>
      <c r="K101" s="67"/>
      <c r="L101" s="67"/>
      <c r="M101" s="49"/>
    </row>
    <row r="102" spans="1:13" s="35" customFormat="1" ht="118.5" customHeight="1" thickBot="1">
      <c r="A102" s="34">
        <v>99</v>
      </c>
      <c r="B102" s="64"/>
      <c r="C102" s="64"/>
      <c r="D102" s="63"/>
      <c r="E102" s="64"/>
      <c r="F102" s="65"/>
      <c r="G102" s="64"/>
      <c r="H102" s="64"/>
      <c r="I102" s="66"/>
      <c r="J102" s="64"/>
      <c r="K102" s="67"/>
      <c r="L102" s="67"/>
      <c r="M102" s="49"/>
    </row>
    <row r="103" spans="1:13" s="35" customFormat="1" ht="118.5" customHeight="1" thickBot="1">
      <c r="A103" s="34">
        <v>100</v>
      </c>
      <c r="B103" s="64"/>
      <c r="C103" s="64"/>
      <c r="D103" s="63"/>
      <c r="E103" s="64"/>
      <c r="F103" s="65"/>
      <c r="G103" s="64"/>
      <c r="H103" s="64"/>
      <c r="I103" s="66"/>
      <c r="J103" s="64"/>
      <c r="K103" s="67"/>
      <c r="L103" s="67"/>
      <c r="M103" s="49"/>
    </row>
    <row r="104" spans="1:13" s="35" customFormat="1" ht="118.5" customHeight="1" thickBot="1">
      <c r="A104" s="34">
        <v>101</v>
      </c>
      <c r="B104" s="64"/>
      <c r="C104" s="64"/>
      <c r="D104" s="63"/>
      <c r="E104" s="64"/>
      <c r="F104" s="65"/>
      <c r="G104" s="64"/>
      <c r="H104" s="64"/>
      <c r="I104" s="66"/>
      <c r="J104" s="64"/>
      <c r="K104" s="67"/>
      <c r="L104" s="67"/>
      <c r="M104" s="49"/>
    </row>
    <row r="105" spans="1:13" s="35" customFormat="1" ht="118.5" customHeight="1" thickBot="1">
      <c r="A105" s="34">
        <v>102</v>
      </c>
      <c r="B105" s="64"/>
      <c r="C105" s="64"/>
      <c r="D105" s="63"/>
      <c r="E105" s="64"/>
      <c r="F105" s="65"/>
      <c r="G105" s="64"/>
      <c r="H105" s="64"/>
      <c r="I105" s="66"/>
      <c r="J105" s="64"/>
      <c r="K105" s="67"/>
      <c r="L105" s="67"/>
      <c r="M105" s="49"/>
    </row>
    <row r="106" spans="1:13" s="35" customFormat="1" ht="118.5" customHeight="1" thickBot="1">
      <c r="A106" s="34">
        <v>103</v>
      </c>
      <c r="B106" s="64"/>
      <c r="C106" s="64"/>
      <c r="D106" s="63"/>
      <c r="E106" s="64"/>
      <c r="F106" s="65"/>
      <c r="G106" s="64"/>
      <c r="H106" s="64"/>
      <c r="I106" s="66"/>
      <c r="J106" s="64"/>
      <c r="K106" s="67"/>
      <c r="L106" s="67"/>
      <c r="M106" s="49"/>
    </row>
    <row r="107" spans="1:13" s="35" customFormat="1" ht="118.5" customHeight="1" thickBot="1">
      <c r="A107" s="34">
        <v>104</v>
      </c>
      <c r="B107" s="64"/>
      <c r="C107" s="64"/>
      <c r="D107" s="63"/>
      <c r="E107" s="64"/>
      <c r="F107" s="65"/>
      <c r="G107" s="64"/>
      <c r="H107" s="64"/>
      <c r="I107" s="66"/>
      <c r="J107" s="64"/>
      <c r="K107" s="67"/>
      <c r="L107" s="67"/>
      <c r="M107" s="49"/>
    </row>
    <row r="108" spans="1:13" s="35" customFormat="1" ht="118.5" customHeight="1" thickBot="1">
      <c r="A108" s="34">
        <v>105</v>
      </c>
      <c r="B108" s="64"/>
      <c r="C108" s="64"/>
      <c r="D108" s="63"/>
      <c r="E108" s="64"/>
      <c r="F108" s="65"/>
      <c r="G108" s="64"/>
      <c r="H108" s="64"/>
      <c r="I108" s="66"/>
      <c r="J108" s="64"/>
      <c r="K108" s="67"/>
      <c r="L108" s="67"/>
      <c r="M108" s="49"/>
    </row>
    <row r="109" spans="1:13" s="35" customFormat="1" ht="118.5" customHeight="1" thickBot="1">
      <c r="A109" s="34">
        <v>106</v>
      </c>
      <c r="B109" s="64"/>
      <c r="C109" s="64"/>
      <c r="D109" s="63"/>
      <c r="E109" s="64"/>
      <c r="F109" s="65"/>
      <c r="G109" s="64"/>
      <c r="H109" s="64"/>
      <c r="I109" s="66"/>
      <c r="J109" s="64"/>
      <c r="K109" s="67"/>
      <c r="L109" s="67"/>
      <c r="M109" s="49"/>
    </row>
    <row r="110" spans="1:13" s="35" customFormat="1" ht="118.5" customHeight="1" thickBot="1">
      <c r="A110" s="34">
        <v>107</v>
      </c>
      <c r="B110" s="64"/>
      <c r="C110" s="64"/>
      <c r="D110" s="63"/>
      <c r="E110" s="64"/>
      <c r="F110" s="65"/>
      <c r="G110" s="64"/>
      <c r="H110" s="64"/>
      <c r="I110" s="66"/>
      <c r="J110" s="64"/>
      <c r="K110" s="67"/>
      <c r="L110" s="67"/>
      <c r="M110" s="49"/>
    </row>
    <row r="111" spans="1:13" s="35" customFormat="1" ht="118.5" customHeight="1" thickBot="1">
      <c r="A111" s="34">
        <v>108</v>
      </c>
      <c r="B111" s="64"/>
      <c r="C111" s="64"/>
      <c r="D111" s="63"/>
      <c r="E111" s="64"/>
      <c r="F111" s="65"/>
      <c r="G111" s="64"/>
      <c r="H111" s="64"/>
      <c r="I111" s="66"/>
      <c r="J111" s="64"/>
      <c r="K111" s="67"/>
      <c r="L111" s="67"/>
      <c r="M111" s="49"/>
    </row>
    <row r="112" spans="1:13" s="56" customFormat="1" ht="118.5" customHeight="1">
      <c r="A112" s="10">
        <v>109</v>
      </c>
      <c r="B112" s="80"/>
      <c r="C112" s="80"/>
      <c r="D112" s="81"/>
      <c r="E112" s="80"/>
      <c r="F112" s="82"/>
      <c r="G112" s="80"/>
      <c r="H112" s="80"/>
      <c r="I112" s="83"/>
      <c r="J112" s="80"/>
      <c r="K112" s="84"/>
      <c r="L112" s="84"/>
      <c r="M112" s="55"/>
    </row>
    <row r="113" spans="1:13" s="56" customFormat="1" ht="118.5" customHeight="1">
      <c r="A113" s="10">
        <v>110</v>
      </c>
      <c r="B113" s="80"/>
      <c r="C113" s="80"/>
      <c r="D113" s="81"/>
      <c r="E113" s="80"/>
      <c r="F113" s="82"/>
      <c r="G113" s="80"/>
      <c r="H113" s="80"/>
      <c r="I113" s="83"/>
      <c r="J113" s="80"/>
      <c r="K113" s="84"/>
      <c r="L113" s="84"/>
      <c r="M113" s="55"/>
    </row>
    <row r="114" spans="1:13" s="56" customFormat="1" ht="118.5" customHeight="1">
      <c r="A114" s="10">
        <v>111</v>
      </c>
      <c r="B114" s="80"/>
      <c r="C114" s="80"/>
      <c r="D114" s="81"/>
      <c r="E114" s="80"/>
      <c r="F114" s="82"/>
      <c r="G114" s="80"/>
      <c r="H114" s="80"/>
      <c r="I114" s="83"/>
      <c r="J114" s="80"/>
      <c r="K114" s="84"/>
      <c r="L114" s="84"/>
      <c r="M114" s="55"/>
    </row>
    <row r="115" spans="1:13" s="56" customFormat="1" ht="118.5" customHeight="1">
      <c r="A115" s="10">
        <v>112</v>
      </c>
      <c r="B115" s="80"/>
      <c r="C115" s="80"/>
      <c r="D115" s="81"/>
      <c r="E115" s="80"/>
      <c r="F115" s="82"/>
      <c r="G115" s="80"/>
      <c r="H115" s="80"/>
      <c r="I115" s="83"/>
      <c r="J115" s="80"/>
      <c r="K115" s="84"/>
      <c r="L115" s="84"/>
      <c r="M115" s="55"/>
    </row>
    <row r="116" spans="1:13" s="56" customFormat="1" ht="118.5" customHeight="1">
      <c r="A116" s="10">
        <v>113</v>
      </c>
      <c r="B116" s="80"/>
      <c r="C116" s="80"/>
      <c r="D116" s="81"/>
      <c r="E116" s="80"/>
      <c r="F116" s="82"/>
      <c r="G116" s="80"/>
      <c r="H116" s="80"/>
      <c r="I116" s="83"/>
      <c r="J116" s="80"/>
      <c r="K116" s="84"/>
      <c r="L116" s="84"/>
      <c r="M116" s="55"/>
    </row>
    <row r="117" spans="1:13" s="56" customFormat="1" ht="118.5" customHeight="1">
      <c r="A117" s="10">
        <v>114</v>
      </c>
      <c r="B117" s="80"/>
      <c r="C117" s="80"/>
      <c r="D117" s="81"/>
      <c r="E117" s="80"/>
      <c r="F117" s="82"/>
      <c r="G117" s="80"/>
      <c r="H117" s="80"/>
      <c r="I117" s="83"/>
      <c r="J117" s="80"/>
      <c r="K117" s="84"/>
      <c r="L117" s="84"/>
      <c r="M117" s="55"/>
    </row>
    <row r="118" spans="1:13" s="56" customFormat="1" ht="118.5" customHeight="1">
      <c r="A118" s="10">
        <v>114</v>
      </c>
      <c r="B118" s="80"/>
      <c r="C118" s="80"/>
      <c r="D118" s="81"/>
      <c r="E118" s="80"/>
      <c r="F118" s="82"/>
      <c r="G118" s="80"/>
      <c r="H118" s="80"/>
      <c r="I118" s="83"/>
      <c r="J118" s="80"/>
      <c r="K118" s="84"/>
      <c r="L118" s="84"/>
      <c r="M118" s="55"/>
    </row>
    <row r="119" spans="1:13" s="56" customFormat="1" ht="118.5" customHeight="1">
      <c r="A119" s="10">
        <v>115</v>
      </c>
      <c r="B119" s="80"/>
      <c r="C119" s="80"/>
      <c r="D119" s="81"/>
      <c r="E119" s="80"/>
      <c r="F119" s="82"/>
      <c r="G119" s="80"/>
      <c r="H119" s="80"/>
      <c r="I119" s="83"/>
      <c r="J119" s="80"/>
      <c r="K119" s="84"/>
      <c r="L119" s="84"/>
      <c r="M119" s="55"/>
    </row>
    <row r="120" spans="1:13" s="56" customFormat="1" ht="118.5" customHeight="1">
      <c r="A120" s="10">
        <v>116</v>
      </c>
      <c r="B120" s="80"/>
      <c r="C120" s="80"/>
      <c r="D120" s="81"/>
      <c r="E120" s="80"/>
      <c r="F120" s="82"/>
      <c r="G120" s="80"/>
      <c r="H120" s="80"/>
      <c r="I120" s="83"/>
      <c r="J120" s="80"/>
      <c r="K120" s="84"/>
      <c r="L120" s="84"/>
      <c r="M120" s="55"/>
    </row>
    <row r="121" spans="1:13" s="56" customFormat="1" ht="118.5" customHeight="1">
      <c r="A121" s="10">
        <v>117</v>
      </c>
      <c r="B121" s="80"/>
      <c r="C121" s="80"/>
      <c r="D121" s="81"/>
      <c r="E121" s="80"/>
      <c r="F121" s="82"/>
      <c r="G121" s="80"/>
      <c r="H121" s="80"/>
      <c r="I121" s="83"/>
      <c r="J121" s="80"/>
      <c r="K121" s="84"/>
      <c r="L121" s="84"/>
      <c r="M121" s="55"/>
    </row>
    <row r="122" spans="1:13" s="56" customFormat="1" ht="118.5" customHeight="1">
      <c r="A122" s="10">
        <v>118</v>
      </c>
      <c r="B122" s="80"/>
      <c r="C122" s="80"/>
      <c r="D122" s="81"/>
      <c r="E122" s="80"/>
      <c r="F122" s="82"/>
      <c r="G122" s="80"/>
      <c r="H122" s="80"/>
      <c r="I122" s="83"/>
      <c r="J122" s="80"/>
      <c r="K122" s="84"/>
      <c r="L122" s="84"/>
      <c r="M122" s="55"/>
    </row>
    <row r="123" spans="1:13" s="56" customFormat="1" ht="118.5" customHeight="1">
      <c r="A123" s="10">
        <v>119</v>
      </c>
      <c r="B123" s="80"/>
      <c r="C123" s="80"/>
      <c r="D123" s="81"/>
      <c r="E123" s="80"/>
      <c r="F123" s="82"/>
      <c r="G123" s="80"/>
      <c r="H123" s="80"/>
      <c r="I123" s="83"/>
      <c r="J123" s="80"/>
      <c r="K123" s="84"/>
      <c r="L123" s="84"/>
      <c r="M123" s="55"/>
    </row>
    <row r="124" spans="1:13" s="56" customFormat="1" ht="118.5" customHeight="1">
      <c r="A124" s="10">
        <v>120</v>
      </c>
      <c r="B124" s="80"/>
      <c r="C124" s="80"/>
      <c r="D124" s="81"/>
      <c r="E124" s="80"/>
      <c r="F124" s="82"/>
      <c r="G124" s="80"/>
      <c r="H124" s="80"/>
      <c r="I124" s="83"/>
      <c r="J124" s="80"/>
      <c r="K124" s="84"/>
      <c r="L124" s="84"/>
      <c r="M124" s="55"/>
    </row>
    <row r="125" spans="1:13" s="56" customFormat="1" ht="118.5" customHeight="1">
      <c r="A125" s="10">
        <v>121</v>
      </c>
      <c r="B125" s="80"/>
      <c r="C125" s="80"/>
      <c r="D125" s="81"/>
      <c r="E125" s="80"/>
      <c r="F125" s="82"/>
      <c r="G125" s="80"/>
      <c r="H125" s="80"/>
      <c r="I125" s="83"/>
      <c r="J125" s="80"/>
      <c r="K125" s="84"/>
      <c r="L125" s="84"/>
      <c r="M125" s="55"/>
    </row>
    <row r="126" spans="1:13" s="56" customFormat="1" ht="118.5" customHeight="1">
      <c r="A126" s="10">
        <v>122</v>
      </c>
      <c r="B126" s="80"/>
      <c r="C126" s="80"/>
      <c r="D126" s="81"/>
      <c r="E126" s="80"/>
      <c r="F126" s="82"/>
      <c r="G126" s="80"/>
      <c r="H126" s="80"/>
      <c r="I126" s="83"/>
      <c r="J126" s="80"/>
      <c r="K126" s="84"/>
      <c r="L126" s="84"/>
      <c r="M126" s="55"/>
    </row>
    <row r="127" spans="1:13" s="56" customFormat="1" ht="118.5" customHeight="1">
      <c r="A127" s="10">
        <v>123</v>
      </c>
      <c r="B127" s="80"/>
      <c r="C127" s="80"/>
      <c r="D127" s="81"/>
      <c r="E127" s="80"/>
      <c r="F127" s="82"/>
      <c r="G127" s="80"/>
      <c r="H127" s="80"/>
      <c r="I127" s="83"/>
      <c r="J127" s="80"/>
      <c r="K127" s="84"/>
      <c r="L127" s="84"/>
      <c r="M127" s="55"/>
    </row>
    <row r="128" spans="1:13" s="56" customFormat="1" ht="118.5" customHeight="1">
      <c r="A128" s="10">
        <v>124</v>
      </c>
      <c r="B128" s="80"/>
      <c r="C128" s="80"/>
      <c r="D128" s="81"/>
      <c r="E128" s="80"/>
      <c r="F128" s="82"/>
      <c r="G128" s="80"/>
      <c r="H128" s="80"/>
      <c r="I128" s="83"/>
      <c r="J128" s="80"/>
      <c r="K128" s="84"/>
      <c r="L128" s="84"/>
      <c r="M128" s="55"/>
    </row>
    <row r="129" spans="1:13" s="56" customFormat="1" ht="118.5" customHeight="1">
      <c r="A129" s="10">
        <v>125</v>
      </c>
      <c r="B129" s="80"/>
      <c r="C129" s="80"/>
      <c r="D129" s="81"/>
      <c r="E129" s="80"/>
      <c r="F129" s="82"/>
      <c r="G129" s="80"/>
      <c r="H129" s="80"/>
      <c r="I129" s="83"/>
      <c r="J129" s="80"/>
      <c r="K129" s="84"/>
      <c r="L129" s="84"/>
      <c r="M129" s="55"/>
    </row>
    <row r="130" spans="1:13" s="56" customFormat="1" ht="118.5" customHeight="1">
      <c r="A130" s="10">
        <v>126</v>
      </c>
      <c r="B130" s="80"/>
      <c r="C130" s="80"/>
      <c r="D130" s="81"/>
      <c r="E130" s="80"/>
      <c r="F130" s="82"/>
      <c r="G130" s="80"/>
      <c r="H130" s="80"/>
      <c r="I130" s="83"/>
      <c r="J130" s="80"/>
      <c r="K130" s="84"/>
      <c r="L130" s="84"/>
      <c r="M130" s="55"/>
    </row>
    <row r="131" spans="1:13" s="56" customFormat="1" ht="118.5" customHeight="1">
      <c r="A131" s="10">
        <v>127</v>
      </c>
      <c r="B131" s="80"/>
      <c r="C131" s="80"/>
      <c r="D131" s="81"/>
      <c r="E131" s="80"/>
      <c r="F131" s="82"/>
      <c r="G131" s="80"/>
      <c r="H131" s="80"/>
      <c r="I131" s="83"/>
      <c r="J131" s="80"/>
      <c r="K131" s="84"/>
      <c r="L131" s="84"/>
      <c r="M131" s="55"/>
    </row>
    <row r="132" spans="1:13" s="56" customFormat="1" ht="118.5" customHeight="1">
      <c r="A132" s="10">
        <v>128</v>
      </c>
      <c r="B132" s="80"/>
      <c r="C132" s="80"/>
      <c r="D132" s="81"/>
      <c r="E132" s="80"/>
      <c r="F132" s="82"/>
      <c r="G132" s="80"/>
      <c r="H132" s="80"/>
      <c r="I132" s="83"/>
      <c r="J132" s="80"/>
      <c r="K132" s="84"/>
      <c r="L132" s="84"/>
      <c r="M132" s="55"/>
    </row>
    <row r="133" spans="1:13" s="56" customFormat="1" ht="118.5" customHeight="1">
      <c r="A133" s="10">
        <v>129</v>
      </c>
      <c r="B133" s="80"/>
      <c r="C133" s="80"/>
      <c r="D133" s="81"/>
      <c r="E133" s="80"/>
      <c r="F133" s="82"/>
      <c r="G133" s="80"/>
      <c r="H133" s="80"/>
      <c r="I133" s="83"/>
      <c r="J133" s="80"/>
      <c r="K133" s="84"/>
      <c r="L133" s="84"/>
      <c r="M133" s="55"/>
    </row>
    <row r="134" spans="1:13" s="56" customFormat="1" ht="118.5" customHeight="1">
      <c r="A134" s="10">
        <v>130</v>
      </c>
      <c r="B134" s="80"/>
      <c r="C134" s="80"/>
      <c r="D134" s="81"/>
      <c r="E134" s="80"/>
      <c r="F134" s="82"/>
      <c r="G134" s="80"/>
      <c r="H134" s="80"/>
      <c r="I134" s="83"/>
      <c r="J134" s="80"/>
      <c r="K134" s="84"/>
      <c r="L134" s="84"/>
      <c r="M134" s="55"/>
    </row>
    <row r="135" spans="1:13" s="56" customFormat="1" ht="118.5" customHeight="1">
      <c r="A135" s="10">
        <v>131</v>
      </c>
      <c r="B135" s="80"/>
      <c r="C135" s="80"/>
      <c r="D135" s="81"/>
      <c r="E135" s="80"/>
      <c r="F135" s="82"/>
      <c r="G135" s="80"/>
      <c r="H135" s="80"/>
      <c r="I135" s="83"/>
      <c r="J135" s="80"/>
      <c r="K135" s="84"/>
      <c r="L135" s="84"/>
      <c r="M135" s="55"/>
    </row>
    <row r="136" spans="1:13" s="56" customFormat="1" ht="118.5" customHeight="1">
      <c r="A136" s="10">
        <v>132</v>
      </c>
      <c r="B136" s="80"/>
      <c r="C136" s="80"/>
      <c r="D136" s="81"/>
      <c r="E136" s="80"/>
      <c r="F136" s="82"/>
      <c r="G136" s="80"/>
      <c r="H136" s="80"/>
      <c r="I136" s="83"/>
      <c r="J136" s="80"/>
      <c r="K136" s="84"/>
      <c r="L136" s="84"/>
      <c r="M136" s="55"/>
    </row>
    <row r="137" spans="1:13" s="56" customFormat="1" ht="118.5" customHeight="1">
      <c r="A137" s="10">
        <v>133</v>
      </c>
      <c r="B137" s="80"/>
      <c r="C137" s="80"/>
      <c r="D137" s="81"/>
      <c r="E137" s="80"/>
      <c r="F137" s="82"/>
      <c r="G137" s="80"/>
      <c r="H137" s="80"/>
      <c r="I137" s="83"/>
      <c r="J137" s="80"/>
      <c r="K137" s="84"/>
      <c r="L137" s="84"/>
      <c r="M137" s="55"/>
    </row>
    <row r="138" spans="1:13" s="56" customFormat="1" ht="118.5" customHeight="1">
      <c r="A138" s="10">
        <v>134</v>
      </c>
      <c r="B138" s="80"/>
      <c r="C138" s="80"/>
      <c r="D138" s="81"/>
      <c r="E138" s="80"/>
      <c r="F138" s="82"/>
      <c r="G138" s="80"/>
      <c r="H138" s="80"/>
      <c r="I138" s="83"/>
      <c r="J138" s="80"/>
      <c r="K138" s="84"/>
      <c r="L138" s="84"/>
      <c r="M138" s="55"/>
    </row>
    <row r="139" spans="1:13">
      <c r="A139" s="10">
        <v>135</v>
      </c>
      <c r="B139" s="85"/>
      <c r="C139" s="85"/>
      <c r="D139" s="86"/>
      <c r="E139" s="85"/>
      <c r="F139" s="82"/>
      <c r="G139" s="85"/>
      <c r="H139" s="85"/>
      <c r="I139" s="83"/>
      <c r="J139" s="80"/>
      <c r="K139" s="87"/>
      <c r="L139" s="87"/>
      <c r="M139" s="16"/>
    </row>
    <row r="140" spans="1:13">
      <c r="A140" s="10">
        <v>136</v>
      </c>
      <c r="B140" s="85"/>
      <c r="C140" s="85"/>
      <c r="D140" s="86"/>
      <c r="E140" s="85"/>
      <c r="F140" s="82"/>
      <c r="G140" s="85"/>
      <c r="H140" s="85"/>
      <c r="I140" s="83"/>
      <c r="J140" s="80"/>
      <c r="K140" s="87"/>
      <c r="L140" s="87"/>
      <c r="M140" s="16"/>
    </row>
    <row r="141" spans="1:13">
      <c r="A141" s="10">
        <v>137</v>
      </c>
      <c r="B141" s="85"/>
      <c r="C141" s="85"/>
      <c r="D141" s="86"/>
      <c r="E141" s="85"/>
      <c r="F141" s="82"/>
      <c r="G141" s="85"/>
      <c r="H141" s="85"/>
      <c r="I141" s="83"/>
      <c r="J141" s="80"/>
      <c r="K141" s="87"/>
      <c r="L141" s="87"/>
      <c r="M141" s="16"/>
    </row>
    <row r="142" spans="1:13">
      <c r="A142" s="10">
        <v>138</v>
      </c>
      <c r="B142" s="85"/>
      <c r="C142" s="85"/>
      <c r="D142" s="86"/>
      <c r="E142" s="85"/>
      <c r="F142" s="82"/>
      <c r="G142" s="85"/>
      <c r="H142" s="85"/>
      <c r="I142" s="83"/>
      <c r="J142" s="80"/>
      <c r="K142" s="87"/>
      <c r="L142" s="87"/>
      <c r="M142" s="16"/>
    </row>
    <row r="143" spans="1:13">
      <c r="A143" s="10">
        <v>139</v>
      </c>
      <c r="B143" s="85"/>
      <c r="C143" s="85"/>
      <c r="D143" s="86"/>
      <c r="E143" s="85"/>
      <c r="F143" s="82"/>
      <c r="G143" s="85"/>
      <c r="H143" s="85"/>
      <c r="I143" s="83"/>
      <c r="J143" s="80"/>
      <c r="K143" s="87"/>
      <c r="L143" s="87"/>
      <c r="M143" s="16"/>
    </row>
    <row r="144" spans="1:13">
      <c r="A144" s="10">
        <v>140</v>
      </c>
      <c r="B144" s="85"/>
      <c r="C144" s="85"/>
      <c r="D144" s="86"/>
      <c r="E144" s="85"/>
      <c r="F144" s="82"/>
      <c r="G144" s="85"/>
      <c r="H144" s="85"/>
      <c r="I144" s="83"/>
      <c r="J144" s="80"/>
      <c r="K144" s="87"/>
      <c r="L144" s="87"/>
      <c r="M144" s="16"/>
    </row>
    <row r="145" spans="1:13">
      <c r="A145" s="10">
        <v>141</v>
      </c>
      <c r="B145" s="85"/>
      <c r="C145" s="85"/>
      <c r="D145" s="86"/>
      <c r="E145" s="85"/>
      <c r="F145" s="82"/>
      <c r="G145" s="85"/>
      <c r="H145" s="85"/>
      <c r="I145" s="83"/>
      <c r="J145" s="80"/>
      <c r="K145" s="87"/>
      <c r="L145" s="87"/>
      <c r="M145" s="16"/>
    </row>
    <row r="146" spans="1:13">
      <c r="A146" s="10">
        <v>142</v>
      </c>
      <c r="B146" s="85"/>
      <c r="C146" s="85"/>
      <c r="D146" s="86"/>
      <c r="E146" s="85"/>
      <c r="F146" s="82"/>
      <c r="G146" s="85"/>
      <c r="H146" s="85"/>
      <c r="I146" s="83"/>
      <c r="J146" s="80"/>
      <c r="K146" s="87"/>
      <c r="L146" s="87"/>
      <c r="M146" s="16"/>
    </row>
    <row r="147" spans="1:13">
      <c r="A147" s="10">
        <v>143</v>
      </c>
      <c r="B147" s="85"/>
      <c r="C147" s="85"/>
      <c r="D147" s="86"/>
      <c r="E147" s="85"/>
      <c r="F147" s="82"/>
      <c r="G147" s="85"/>
      <c r="H147" s="85"/>
      <c r="I147" s="83"/>
      <c r="J147" s="80"/>
      <c r="K147" s="87"/>
      <c r="L147" s="87"/>
      <c r="M147" s="16"/>
    </row>
    <row r="148" spans="1:13">
      <c r="A148" s="10">
        <v>144</v>
      </c>
      <c r="B148" s="85"/>
      <c r="C148" s="85"/>
      <c r="D148" s="86"/>
      <c r="E148" s="85"/>
      <c r="F148" s="82"/>
      <c r="G148" s="85"/>
      <c r="H148" s="85"/>
      <c r="I148" s="83"/>
      <c r="J148" s="80"/>
      <c r="K148" s="87"/>
      <c r="L148" s="87"/>
      <c r="M148" s="16"/>
    </row>
    <row r="149" spans="1:13">
      <c r="A149" s="10">
        <v>145</v>
      </c>
      <c r="B149" s="85"/>
      <c r="C149" s="85"/>
      <c r="D149" s="86"/>
      <c r="E149" s="85"/>
      <c r="F149" s="82"/>
      <c r="G149" s="85"/>
      <c r="H149" s="85"/>
      <c r="I149" s="83"/>
      <c r="J149" s="80"/>
      <c r="K149" s="87"/>
      <c r="L149" s="87"/>
      <c r="M149" s="16"/>
    </row>
    <row r="150" spans="1:13">
      <c r="A150" s="10">
        <v>146</v>
      </c>
      <c r="B150" s="85"/>
      <c r="C150" s="85"/>
      <c r="D150" s="86"/>
      <c r="E150" s="85"/>
      <c r="F150" s="82"/>
      <c r="G150" s="85"/>
      <c r="H150" s="85"/>
      <c r="I150" s="83"/>
      <c r="J150" s="80"/>
      <c r="K150" s="87"/>
      <c r="L150" s="87"/>
      <c r="M150" s="16"/>
    </row>
    <row r="151" spans="1:13">
      <c r="A151" s="10">
        <v>147</v>
      </c>
      <c r="B151" s="85"/>
      <c r="C151" s="85"/>
      <c r="D151" s="86"/>
      <c r="E151" s="85"/>
      <c r="F151" s="82"/>
      <c r="G151" s="85"/>
      <c r="H151" s="85"/>
      <c r="I151" s="83"/>
      <c r="J151" s="80"/>
      <c r="K151" s="87"/>
      <c r="L151" s="87"/>
      <c r="M151" s="16"/>
    </row>
    <row r="152" spans="1:13">
      <c r="A152" s="10">
        <v>148</v>
      </c>
      <c r="B152" s="85"/>
      <c r="C152" s="85"/>
      <c r="D152" s="86"/>
      <c r="E152" s="85"/>
      <c r="F152" s="82"/>
      <c r="G152" s="85"/>
      <c r="H152" s="85"/>
      <c r="I152" s="83"/>
      <c r="J152" s="80"/>
      <c r="K152" s="87"/>
      <c r="L152" s="87"/>
      <c r="M152" s="16"/>
    </row>
    <row r="153" spans="1:13">
      <c r="A153" s="10">
        <v>149</v>
      </c>
      <c r="B153" s="85"/>
      <c r="C153" s="85"/>
      <c r="D153" s="86"/>
      <c r="E153" s="85"/>
      <c r="F153" s="82"/>
      <c r="G153" s="85"/>
      <c r="H153" s="85"/>
      <c r="I153" s="83"/>
      <c r="J153" s="80"/>
      <c r="K153" s="87"/>
      <c r="L153" s="87"/>
      <c r="M153" s="16"/>
    </row>
    <row r="154" spans="1:13">
      <c r="A154" s="10">
        <v>150</v>
      </c>
      <c r="B154" s="85"/>
      <c r="C154" s="85"/>
      <c r="D154" s="86"/>
      <c r="E154" s="85"/>
      <c r="F154" s="82"/>
      <c r="G154" s="85"/>
      <c r="H154" s="85"/>
      <c r="I154" s="83"/>
      <c r="J154" s="80"/>
      <c r="K154" s="87"/>
      <c r="L154" s="87"/>
      <c r="M154" s="16"/>
    </row>
    <row r="155" spans="1:13">
      <c r="A155" s="10">
        <v>151</v>
      </c>
      <c r="B155" s="85"/>
      <c r="C155" s="85"/>
      <c r="D155" s="86"/>
      <c r="E155" s="85"/>
      <c r="F155" s="82"/>
      <c r="G155" s="85"/>
      <c r="H155" s="85"/>
      <c r="I155" s="83"/>
      <c r="J155" s="80"/>
      <c r="K155" s="87"/>
      <c r="L155" s="87"/>
      <c r="M155" s="16"/>
    </row>
    <row r="156" spans="1:13">
      <c r="A156" s="10">
        <v>152</v>
      </c>
      <c r="B156" s="85"/>
      <c r="C156" s="85"/>
      <c r="D156" s="86"/>
      <c r="E156" s="85"/>
      <c r="F156" s="82"/>
      <c r="G156" s="85"/>
      <c r="H156" s="85"/>
      <c r="I156" s="83"/>
      <c r="J156" s="80"/>
      <c r="K156" s="87"/>
      <c r="L156" s="87"/>
      <c r="M156" s="16"/>
    </row>
    <row r="157" spans="1:13">
      <c r="A157" s="10">
        <v>153</v>
      </c>
      <c r="B157" s="85"/>
      <c r="C157" s="85"/>
      <c r="D157" s="86"/>
      <c r="E157" s="85"/>
      <c r="F157" s="82"/>
      <c r="G157" s="85"/>
      <c r="H157" s="85"/>
      <c r="I157" s="83"/>
      <c r="J157" s="80"/>
      <c r="K157" s="87"/>
      <c r="L157" s="87"/>
      <c r="M157" s="16"/>
    </row>
    <row r="158" spans="1:13">
      <c r="A158" s="10">
        <v>154</v>
      </c>
      <c r="B158" s="85"/>
      <c r="C158" s="85"/>
      <c r="D158" s="86"/>
      <c r="E158" s="85"/>
      <c r="F158" s="82"/>
      <c r="G158" s="85"/>
      <c r="H158" s="85"/>
      <c r="I158" s="83"/>
      <c r="J158" s="80"/>
      <c r="K158" s="87"/>
      <c r="L158" s="87"/>
      <c r="M158" s="16"/>
    </row>
    <row r="159" spans="1:13">
      <c r="A159" s="10">
        <v>155</v>
      </c>
      <c r="B159" s="85"/>
      <c r="C159" s="85"/>
      <c r="D159" s="86"/>
      <c r="E159" s="85"/>
      <c r="F159" s="82"/>
      <c r="G159" s="85"/>
      <c r="H159" s="85"/>
      <c r="I159" s="83"/>
      <c r="J159" s="80"/>
      <c r="K159" s="87"/>
      <c r="L159" s="87"/>
      <c r="M159" s="16"/>
    </row>
    <row r="160" spans="1:13">
      <c r="A160" s="10">
        <v>156</v>
      </c>
      <c r="B160" s="85"/>
      <c r="C160" s="85"/>
      <c r="D160" s="86"/>
      <c r="E160" s="85"/>
      <c r="F160" s="82"/>
      <c r="G160" s="85"/>
      <c r="H160" s="85"/>
      <c r="I160" s="83"/>
      <c r="J160" s="80"/>
      <c r="K160" s="87"/>
      <c r="L160" s="87"/>
      <c r="M160" s="16"/>
    </row>
    <row r="161" spans="1:13">
      <c r="A161" s="10">
        <v>157</v>
      </c>
      <c r="B161" s="85"/>
      <c r="C161" s="85"/>
      <c r="D161" s="86"/>
      <c r="E161" s="85"/>
      <c r="F161" s="82"/>
      <c r="G161" s="85"/>
      <c r="H161" s="85"/>
      <c r="I161" s="83"/>
      <c r="J161" s="80"/>
      <c r="K161" s="87"/>
      <c r="L161" s="87"/>
      <c r="M161" s="16"/>
    </row>
    <row r="162" spans="1:13">
      <c r="A162" s="10">
        <v>158</v>
      </c>
      <c r="B162" s="85"/>
      <c r="C162" s="85"/>
      <c r="D162" s="86"/>
      <c r="E162" s="85"/>
      <c r="F162" s="82"/>
      <c r="G162" s="85"/>
      <c r="H162" s="85"/>
      <c r="I162" s="83"/>
      <c r="J162" s="80"/>
      <c r="K162" s="87"/>
      <c r="L162" s="87"/>
      <c r="M162" s="16"/>
    </row>
    <row r="163" spans="1:13">
      <c r="A163" s="10">
        <v>159</v>
      </c>
      <c r="B163" s="85"/>
      <c r="C163" s="85"/>
      <c r="D163" s="86"/>
      <c r="E163" s="85"/>
      <c r="F163" s="82"/>
      <c r="G163" s="85"/>
      <c r="H163" s="85"/>
      <c r="I163" s="83"/>
      <c r="J163" s="80"/>
      <c r="K163" s="87"/>
      <c r="L163" s="87"/>
      <c r="M163" s="16"/>
    </row>
    <row r="164" spans="1:13">
      <c r="A164" s="10">
        <v>160</v>
      </c>
      <c r="B164" s="85"/>
      <c r="C164" s="85"/>
      <c r="D164" s="86"/>
      <c r="E164" s="85"/>
      <c r="F164" s="82"/>
      <c r="G164" s="85"/>
      <c r="H164" s="85"/>
      <c r="I164" s="83"/>
      <c r="J164" s="80"/>
      <c r="K164" s="87"/>
      <c r="L164" s="87"/>
      <c r="M164" s="16"/>
    </row>
    <row r="165" spans="1:13">
      <c r="A165" s="10">
        <v>161</v>
      </c>
      <c r="B165" s="85"/>
      <c r="C165" s="85"/>
      <c r="D165" s="86"/>
      <c r="E165" s="85"/>
      <c r="F165" s="82"/>
      <c r="G165" s="85"/>
      <c r="H165" s="85"/>
      <c r="I165" s="83"/>
      <c r="J165" s="80"/>
      <c r="K165" s="87"/>
      <c r="L165" s="87"/>
      <c r="M165" s="16"/>
    </row>
    <row r="166" spans="1:13">
      <c r="A166" s="10">
        <v>162</v>
      </c>
      <c r="B166" s="85"/>
      <c r="C166" s="85"/>
      <c r="D166" s="86"/>
      <c r="E166" s="85"/>
      <c r="F166" s="82"/>
      <c r="G166" s="85"/>
      <c r="H166" s="85"/>
      <c r="I166" s="83"/>
      <c r="J166" s="80"/>
      <c r="K166" s="87"/>
      <c r="L166" s="87"/>
      <c r="M166" s="16"/>
    </row>
    <row r="167" spans="1:13">
      <c r="A167" s="10">
        <v>163</v>
      </c>
      <c r="B167" s="85"/>
      <c r="C167" s="85"/>
      <c r="D167" s="86"/>
      <c r="E167" s="85"/>
      <c r="F167" s="82"/>
      <c r="G167" s="85"/>
      <c r="H167" s="85"/>
      <c r="I167" s="83"/>
      <c r="J167" s="80"/>
      <c r="K167" s="87"/>
      <c r="L167" s="87"/>
      <c r="M167" s="16"/>
    </row>
    <row r="168" spans="1:13">
      <c r="A168" s="10">
        <v>164</v>
      </c>
      <c r="B168" s="85"/>
      <c r="C168" s="85"/>
      <c r="D168" s="86"/>
      <c r="E168" s="85"/>
      <c r="F168" s="82"/>
      <c r="G168" s="85"/>
      <c r="H168" s="85"/>
      <c r="I168" s="83"/>
      <c r="J168" s="80"/>
      <c r="K168" s="87"/>
      <c r="L168" s="87"/>
      <c r="M168" s="16"/>
    </row>
    <row r="169" spans="1:13">
      <c r="A169" s="10">
        <v>178</v>
      </c>
      <c r="B169" s="85"/>
      <c r="C169" s="85"/>
      <c r="D169" s="86"/>
      <c r="E169" s="85"/>
      <c r="F169" s="82"/>
      <c r="G169" s="85"/>
      <c r="H169" s="85"/>
      <c r="I169" s="83"/>
      <c r="J169" s="80"/>
      <c r="K169" s="87"/>
      <c r="L169" s="87"/>
      <c r="M169" s="16"/>
    </row>
    <row r="170" spans="1:13">
      <c r="A170" s="10">
        <v>179</v>
      </c>
      <c r="B170" s="85"/>
      <c r="C170" s="85"/>
      <c r="D170" s="86"/>
      <c r="E170" s="85"/>
      <c r="F170" s="82"/>
      <c r="G170" s="85"/>
      <c r="H170" s="85"/>
      <c r="I170" s="83"/>
      <c r="J170" s="80"/>
      <c r="K170" s="87"/>
      <c r="L170" s="87"/>
      <c r="M170" s="16"/>
    </row>
    <row r="171" spans="1:13">
      <c r="A171" s="10">
        <v>180</v>
      </c>
      <c r="B171" s="85"/>
      <c r="C171" s="85"/>
      <c r="D171" s="86"/>
      <c r="E171" s="85"/>
      <c r="F171" s="82"/>
      <c r="G171" s="85"/>
      <c r="H171" s="85"/>
      <c r="I171" s="83"/>
      <c r="J171" s="80"/>
      <c r="K171" s="87"/>
      <c r="L171" s="87"/>
      <c r="M171" s="16"/>
    </row>
    <row r="172" spans="1:13">
      <c r="A172" s="10">
        <v>181</v>
      </c>
      <c r="B172" s="85"/>
      <c r="C172" s="85"/>
      <c r="D172" s="86"/>
      <c r="E172" s="85"/>
      <c r="F172" s="82"/>
      <c r="G172" s="85"/>
      <c r="H172" s="85"/>
      <c r="I172" s="83"/>
      <c r="J172" s="80"/>
      <c r="K172" s="87"/>
      <c r="L172" s="87"/>
      <c r="M172" s="16"/>
    </row>
    <row r="173" spans="1:13">
      <c r="A173" s="10">
        <v>182</v>
      </c>
      <c r="B173" s="85"/>
      <c r="C173" s="85"/>
      <c r="D173" s="86"/>
      <c r="E173" s="85"/>
      <c r="F173" s="82"/>
      <c r="G173" s="85"/>
      <c r="H173" s="85"/>
      <c r="I173" s="83"/>
      <c r="J173" s="80"/>
      <c r="K173" s="87"/>
      <c r="L173" s="87"/>
      <c r="M173" s="16"/>
    </row>
    <row r="174" spans="1:13">
      <c r="A174" s="10">
        <v>183</v>
      </c>
      <c r="B174" s="85"/>
      <c r="C174" s="85"/>
      <c r="D174" s="86"/>
      <c r="E174" s="85"/>
      <c r="F174" s="82"/>
      <c r="G174" s="85"/>
      <c r="H174" s="85"/>
      <c r="I174" s="83"/>
      <c r="J174" s="80"/>
      <c r="K174" s="87"/>
      <c r="L174" s="87"/>
      <c r="M174" s="16"/>
    </row>
    <row r="175" spans="1:13">
      <c r="A175" s="10">
        <v>184</v>
      </c>
      <c r="B175" s="85"/>
      <c r="C175" s="85"/>
      <c r="D175" s="86"/>
      <c r="E175" s="85"/>
      <c r="F175" s="82"/>
      <c r="G175" s="85"/>
      <c r="H175" s="85"/>
      <c r="I175" s="83"/>
      <c r="J175" s="80"/>
      <c r="K175" s="87"/>
      <c r="L175" s="87"/>
      <c r="M175" s="16"/>
    </row>
    <row r="176" spans="1:13">
      <c r="A176" s="10">
        <v>185</v>
      </c>
      <c r="B176" s="85"/>
      <c r="C176" s="85"/>
      <c r="D176" s="86"/>
      <c r="E176" s="85"/>
      <c r="F176" s="82"/>
      <c r="G176" s="85"/>
      <c r="H176" s="85"/>
      <c r="I176" s="83"/>
      <c r="J176" s="80"/>
      <c r="K176" s="87"/>
      <c r="L176" s="87"/>
      <c r="M176" s="16"/>
    </row>
    <row r="177" spans="1:13">
      <c r="A177" s="10">
        <v>186</v>
      </c>
      <c r="B177" s="85"/>
      <c r="C177" s="85"/>
      <c r="D177" s="86"/>
      <c r="E177" s="85"/>
      <c r="F177" s="82"/>
      <c r="G177" s="85"/>
      <c r="H177" s="85"/>
      <c r="I177" s="83"/>
      <c r="J177" s="80"/>
      <c r="K177" s="87"/>
      <c r="L177" s="87"/>
      <c r="M177" s="16"/>
    </row>
    <row r="178" spans="1:13">
      <c r="A178" s="10">
        <v>187</v>
      </c>
      <c r="B178" s="85"/>
      <c r="C178" s="85"/>
      <c r="D178" s="86"/>
      <c r="E178" s="85"/>
      <c r="F178" s="82"/>
      <c r="G178" s="85"/>
      <c r="H178" s="85"/>
      <c r="I178" s="83"/>
      <c r="J178" s="80"/>
      <c r="K178" s="87"/>
      <c r="L178" s="87"/>
      <c r="M178" s="16"/>
    </row>
    <row r="179" spans="1:13">
      <c r="A179" s="10">
        <v>188</v>
      </c>
      <c r="B179" s="85"/>
      <c r="C179" s="85"/>
      <c r="D179" s="86"/>
      <c r="E179" s="85"/>
      <c r="F179" s="82"/>
      <c r="G179" s="85"/>
      <c r="H179" s="85"/>
      <c r="I179" s="83"/>
      <c r="J179" s="80"/>
      <c r="K179" s="87"/>
      <c r="L179" s="87"/>
      <c r="M179" s="16"/>
    </row>
    <row r="180" spans="1:13">
      <c r="A180" s="10">
        <v>189</v>
      </c>
      <c r="B180" s="85"/>
      <c r="C180" s="85"/>
      <c r="D180" s="86"/>
      <c r="E180" s="85"/>
      <c r="F180" s="82"/>
      <c r="G180" s="85"/>
      <c r="H180" s="85"/>
      <c r="I180" s="83"/>
      <c r="J180" s="80"/>
      <c r="K180" s="87"/>
      <c r="L180" s="87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/>
  <sortState ref="A4:Z91">
    <sortCondition ref="G3:G191"/>
    <sortCondition ref="H3:H91"/>
    <sortCondition ref="D3:D91"/>
  </sortState>
  <phoneticPr fontId="6"/>
  <conditionalFormatting sqref="C85 C4:C70 C73:C80 C88:C176">
    <cfRule type="cellIs" dxfId="10" priority="3" operator="greaterThan">
      <formula>43101</formula>
    </cfRule>
  </conditionalFormatting>
  <conditionalFormatting sqref="C83">
    <cfRule type="cellIs" dxfId="9" priority="2" operator="greaterThan">
      <formula>43101</formula>
    </cfRule>
  </conditionalFormatting>
  <conditionalFormatting sqref="C84">
    <cfRule type="cellIs" dxfId="8" priority="1" operator="greaterThan">
      <formula>43101</formula>
    </cfRule>
  </conditionalFormatting>
  <pageMargins left="0.7" right="0.7" top="0.75" bottom="0.75" header="0.3" footer="0.3"/>
  <pageSetup paperSize="9" scale="51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261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</cp:lastModifiedBy>
  <dcterms:created xsi:type="dcterms:W3CDTF">2018-02-02T10:25:58Z</dcterms:created>
  <dcterms:modified xsi:type="dcterms:W3CDTF">2018-02-06T14:30:50Z</dcterms:modified>
</cp:coreProperties>
</file>